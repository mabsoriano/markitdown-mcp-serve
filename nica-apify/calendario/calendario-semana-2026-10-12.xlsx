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ómo leer" sheetId="1" state="visible" r:id="rId1"/>
    <sheet name="Calendario" sheetId="2" state="visible" r:id="rId2"/>
    <sheet name="Guion por partes" sheetId="3" state="visible" r:id="rId3"/>
    <sheet name="Mi semana" sheetId="4" state="visible" r:id="rId4"/>
    <sheet name="Podcast y YouTube" sheetId="5" state="visible" r:id="rId5"/>
    <sheet name="Querido Ex" sheetId="6" state="visible" r:id="rId6"/>
    <sheet name="Competencia" sheetId="7" state="visible" r:id="rId7"/>
    <sheet name="Patrones de viralidad" sheetId="8" state="visible" r:id="rId8"/>
  </sheets>
  <definedNames>
    <definedName name="_xlnm._FilterDatabase" localSheetId="1" hidden="1">'Calendario'!$A$1:$AD$22</definedName>
    <definedName name="_xlnm._FilterDatabase" localSheetId="6" hidden="1">'Competencia'!$A$1:$Q$80</definedName>
  </definedNames>
  <calcPr calcId="124519" fullCalcOnLoad="1"/>
</workbook>
</file>

<file path=xl/styles.xml><?xml version="1.0" encoding="utf-8"?>
<styleSheet xmlns="http://schemas.openxmlformats.org/spreadsheetml/2006/main">
  <numFmts count="1">
    <numFmt numFmtId="164" formatCode="0.0&quot;x&quot;"/>
  </numFmts>
  <fonts count="8">
    <font>
      <name val="Calibri"/>
      <family val="2"/>
      <color theme="1"/>
      <sz val="11"/>
      <scheme val="minor"/>
    </font>
    <font>
      <name val="Arial"/>
      <b val="1"/>
      <color rgb="00FFFFFF"/>
      <sz val="10"/>
    </font>
    <font>
      <name val="Arial"/>
      <sz val="10"/>
    </font>
    <font>
      <name val="Arial"/>
      <b val="1"/>
      <sz val="10"/>
    </font>
    <font>
      <name val="Arial"/>
      <b val="1"/>
      <color rgb="004B2A7B"/>
      <sz val="12"/>
    </font>
    <font>
      <name val="Arial"/>
      <i val="1"/>
      <sz val="9"/>
    </font>
    <font>
      <name val="Arial"/>
      <color rgb="001155CC"/>
      <sz val="10"/>
      <u val="single"/>
    </font>
    <font>
      <name val="Arial"/>
      <b val="1"/>
      <color rgb="00000000"/>
      <sz val="10"/>
    </font>
  </fonts>
  <fills count="12">
    <fill>
      <patternFill/>
    </fill>
    <fill>
      <patternFill patternType="gray125"/>
    </fill>
    <fill>
      <patternFill patternType="solid">
        <fgColor rgb="004B2A7B"/>
      </patternFill>
    </fill>
    <fill>
      <patternFill patternType="solid">
        <fgColor rgb="00FFF3E0"/>
      </patternFill>
    </fill>
    <fill>
      <patternFill patternType="solid">
        <fgColor rgb="00FFFF99"/>
      </patternFill>
    </fill>
    <fill>
      <patternFill patternType="solid">
        <fgColor rgb="00EDE7F6"/>
      </patternFill>
    </fill>
    <fill>
      <patternFill patternType="solid">
        <fgColor rgb="00FCE4EC"/>
      </patternFill>
    </fill>
    <fill>
      <patternFill patternType="solid">
        <fgColor rgb="00E3F2FD"/>
      </patternFill>
    </fill>
    <fill>
      <patternFill patternType="solid">
        <fgColor rgb="00E8F5E9"/>
      </patternFill>
    </fill>
    <fill>
      <patternFill patternType="solid">
        <fgColor rgb="00FFF8E1"/>
      </patternFill>
    </fill>
    <fill>
      <patternFill patternType="solid">
        <fgColor rgb="00F3E5F5"/>
      </patternFill>
    </fill>
    <fill>
      <patternFill patternType="solid">
        <fgColor rgb="00C8E6C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1">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4" fillId="9" borderId="1" applyAlignment="1" pivotButton="0" quotePrefix="0" xfId="0">
      <alignment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4" fillId="10" borderId="1" applyAlignment="1" pivotButton="0" quotePrefix="0" xfId="0">
      <alignment vertical="top" wrapText="1"/>
    </xf>
    <xf numFmtId="0" fontId="3"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3" fontId="2" fillId="0" borderId="1" applyAlignment="1" pivotButton="0" quotePrefix="0" xfId="0">
      <alignment vertical="top" wrapText="1"/>
    </xf>
    <xf numFmtId="164" fontId="3" fillId="11" borderId="1" applyAlignment="1" pivotButton="0" quotePrefix="0" xfId="0">
      <alignment vertical="top" wrapText="1"/>
    </xf>
    <xf numFmtId="0" fontId="6" fillId="5" borderId="1" applyAlignment="1" pivotButton="0" quotePrefix="0" xfId="0">
      <alignment vertical="top" wrapText="1"/>
    </xf>
    <xf numFmtId="3" fontId="2" fillId="5" borderId="1" applyAlignment="1" pivotButton="0" quotePrefix="0" xfId="0">
      <alignment vertical="top" wrapText="1"/>
    </xf>
    <xf numFmtId="164" fontId="3" fillId="0" borderId="1" applyAlignment="1" pivotButton="0" quotePrefix="0" xfId="0">
      <alignment vertical="top" wrapText="1"/>
    </xf>
    <xf numFmtId="0" fontId="5" fillId="0" borderId="0" applyAlignment="1" pivotButton="0" quotePrefix="0" xfId="0">
      <alignment vertical="top" wrapText="1"/>
    </xf>
    <xf numFmtId="164" fontId="2"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www.instagram.com/p/DbMptmRtnU5/" TargetMode="External" Id="rId1" /><Relationship Type="http://schemas.openxmlformats.org/officeDocument/2006/relationships/hyperlink" Target="https://www.instagram.com/p/DdXi3VJtZo0/" TargetMode="External" Id="rId2" /><Relationship Type="http://schemas.openxmlformats.org/officeDocument/2006/relationships/hyperlink" Target="https://www.tiktok.com/@mabradiante/video/7539939568632581392" TargetMode="External" Id="rId3" /><Relationship Type="http://schemas.openxmlformats.org/officeDocument/2006/relationships/hyperlink" Target="https://www.instagram.com/p/DZoPOQoNlb5/" TargetMode="External" Id="rId4" /><Relationship Type="http://schemas.openxmlformats.org/officeDocument/2006/relationships/hyperlink" Target="https://www.tiktok.com/@mabradiante/video/7278395420961688837" TargetMode="External" Id="rId5" /><Relationship Type="http://schemas.openxmlformats.org/officeDocument/2006/relationships/hyperlink" Target="https://www.tiktok.com/@mabradiante/video/7460335723938385157" TargetMode="External" Id="rId6" /><Relationship Type="http://schemas.openxmlformats.org/officeDocument/2006/relationships/hyperlink" Target="https://www.instagram.com/p/Dc7CLvtBsBD/" TargetMode="External" Id="rId7" /><Relationship Type="http://schemas.openxmlformats.org/officeDocument/2006/relationships/hyperlink" Target="https://www.instagram.com/p/Ddwnt0FPrfM/" TargetMode="External" Id="rId8" /><Relationship Type="http://schemas.openxmlformats.org/officeDocument/2006/relationships/hyperlink" Target="https://www.instagram.com/p/DcUlSiytrS_/" TargetMode="External" Id="rId9" /><Relationship Type="http://schemas.openxmlformats.org/officeDocument/2006/relationships/hyperlink" Target="https://www.instagram.com/p/DcC8I3KN9kI/" TargetMode="External" Id="rId10" /><Relationship Type="http://schemas.openxmlformats.org/officeDocument/2006/relationships/hyperlink" Target="https://www.instagram.com/p/DcxHcIpN2jw/" TargetMode="External" Id="rId11" /><Relationship Type="http://schemas.openxmlformats.org/officeDocument/2006/relationships/hyperlink" Target="https://www.tiktok.com/@mabradiante/video/7491928239577861382" TargetMode="External" Id="rId12" /><Relationship Type="http://schemas.openxmlformats.org/officeDocument/2006/relationships/hyperlink" Target="https://www.instagram.com/p/DdfGwrrvq_o/" TargetMode="External" Id="rId13" /><Relationship Type="http://schemas.openxmlformats.org/officeDocument/2006/relationships/hyperlink" Target="https://www.tiktok.com/@mabradiante/video/7459976432870034693" TargetMode="External" Id="rId14" /><Relationship Type="http://schemas.openxmlformats.org/officeDocument/2006/relationships/hyperlink" Target="https://www.instagram.com/p/Dcch8c_tibs/" TargetMode="External" Id="rId15" /><Relationship Type="http://schemas.openxmlformats.org/officeDocument/2006/relationships/hyperlink" Target="https://www.facebook.com/reel/1082191651093348/" TargetMode="External" Id="rId16" /><Relationship Type="http://schemas.openxmlformats.org/officeDocument/2006/relationships/hyperlink" Target="https://www.instagram.com/p/DdhoB0yO6lu/" TargetMode="External" Id="rId17" /><Relationship Type="http://schemas.openxmlformats.org/officeDocument/2006/relationships/hyperlink" Target="https://www.instagram.com/p/Dc9upGuNmvR/" TargetMode="External" Id="rId18" /><Relationship Type="http://schemas.openxmlformats.org/officeDocument/2006/relationships/hyperlink" Target="https://www.instagram.com/p/Dchq2qitF5k/" TargetMode="External" Id="rId19" /><Relationship Type="http://schemas.openxmlformats.org/officeDocument/2006/relationships/hyperlink" Target="https://www.instagram.com/p/Dd9-wCCMwLn/" TargetMode="External" Id="rId20" /><Relationship Type="http://schemas.openxmlformats.org/officeDocument/2006/relationships/hyperlink" Target="https://www.facebook.com/reel/1645012720383908/" TargetMode="External" Id="rId21" /><Relationship Type="http://schemas.openxmlformats.org/officeDocument/2006/relationships/hyperlink" Target="https://www.instagram.com/p/DeDVDapNi3P/" TargetMode="External" Id="rId22" /><Relationship Type="http://schemas.openxmlformats.org/officeDocument/2006/relationships/hyperlink" Target="https://www.instagram.com/p/DcKYbr2txl3/" TargetMode="External" Id="rId23" /><Relationship Type="http://schemas.openxmlformats.org/officeDocument/2006/relationships/hyperlink" Target="https://www.tiktok.com/@transformacion_acelerada/video/7268674262804811014" TargetMode="External" Id="rId24" /><Relationship Type="http://schemas.openxmlformats.org/officeDocument/2006/relationships/hyperlink" Target="https://www.instagram.com/p/DdDLmxntJct/" TargetMode="External" Id="rId25" /><Relationship Type="http://schemas.openxmlformats.org/officeDocument/2006/relationships/hyperlink" Target="https://www.instagram.com/p/Dce-DS8Nogg/" TargetMode="External" Id="rId26" /><Relationship Type="http://schemas.openxmlformats.org/officeDocument/2006/relationships/hyperlink" Target="https://www.tiktok.com/@transformacion_acelerada/video/7157777541065919750" TargetMode="External" Id="rId27" /><Relationship Type="http://schemas.openxmlformats.org/officeDocument/2006/relationships/hyperlink" Target="https://www.facebook.com/reel/1988925101818211/" TargetMode="External" Id="rId28" /><Relationship Type="http://schemas.openxmlformats.org/officeDocument/2006/relationships/hyperlink" Target="https://www.instagram.com/p/DdR_B07ujiq/" TargetMode="External" Id="rId29" /><Relationship Type="http://schemas.openxmlformats.org/officeDocument/2006/relationships/hyperlink" Target="https://www.instagram.com/p/DdrZT_hBMqs/" TargetMode="External" Id="rId30" /><Relationship Type="http://schemas.openxmlformats.org/officeDocument/2006/relationships/hyperlink" Target="https://www.instagram.com/p/DdZUNPuBLso/" TargetMode="External" Id="rId31" /><Relationship Type="http://schemas.openxmlformats.org/officeDocument/2006/relationships/hyperlink" Target="https://www.tiktok.com/@manifestadoras/video/7055677548180540678" TargetMode="External" Id="rId32" /><Relationship Type="http://schemas.openxmlformats.org/officeDocument/2006/relationships/hyperlink" Target="https://www.instagram.com/p/DcysjR-MHRc/" TargetMode="External" Id="rId33" /><Relationship Type="http://schemas.openxmlformats.org/officeDocument/2006/relationships/hyperlink" Target="https://www.tiktok.com/@soylizadebri/video/7647697725454109960" TargetMode="External" Id="rId34" /><Relationship Type="http://schemas.openxmlformats.org/officeDocument/2006/relationships/hyperlink" Target="https://www.instagram.com/p/Dd4JR9zgxlV/" TargetMode="External" Id="rId35" /><Relationship Type="http://schemas.openxmlformats.org/officeDocument/2006/relationships/hyperlink" Target="https://www.instagram.com/p/DcpbmGgtmyF/" TargetMode="External" Id="rId36" /><Relationship Type="http://schemas.openxmlformats.org/officeDocument/2006/relationships/hyperlink" Target="https://www.instagram.com/p/Dde1nKMNHwT/" TargetMode="External" Id="rId37" /><Relationship Type="http://schemas.openxmlformats.org/officeDocument/2006/relationships/hyperlink" Target="https://www.tiktok.com/@manifestadoras/video/7288714702434077958" TargetMode="External" Id="rId38" /><Relationship Type="http://schemas.openxmlformats.org/officeDocument/2006/relationships/hyperlink" Target="https://www.tiktok.com/@transformacion_acelerada/video/7090658363779910917" TargetMode="External" Id="rId39" /><Relationship Type="http://schemas.openxmlformats.org/officeDocument/2006/relationships/hyperlink" Target="https://www.tiktok.com/@manifestadoras/video/7103156957284011269" TargetMode="External" Id="rId40" /><Relationship Type="http://schemas.openxmlformats.org/officeDocument/2006/relationships/hyperlink" Target="https://www.tiktok.com/@transformacion_acelerada/video/7360331779762343173" TargetMode="External" Id="rId41" /><Relationship Type="http://schemas.openxmlformats.org/officeDocument/2006/relationships/hyperlink" Target="https://www.tiktok.com/@soylizadebri/video/7604271995743866130" TargetMode="External" Id="rId42" /><Relationship Type="http://schemas.openxmlformats.org/officeDocument/2006/relationships/hyperlink" Target="https://www.tiktok.com/@soylizadebri/video/7472436568557489414" TargetMode="External" Id="rId43" /><Relationship Type="http://schemas.openxmlformats.org/officeDocument/2006/relationships/hyperlink" Target="https://www.instagram.com/p/Dc-BvqcP2qM/" TargetMode="External" Id="rId44" /><Relationship Type="http://schemas.openxmlformats.org/officeDocument/2006/relationships/hyperlink" Target="https://www.instagram.com/p/DcoYlduu25D/" TargetMode="External" Id="rId45" /><Relationship Type="http://schemas.openxmlformats.org/officeDocument/2006/relationships/hyperlink" Target="https://www.instagram.com/p/DcaAYovNh1c/" TargetMode="External" Id="rId46" /><Relationship Type="http://schemas.openxmlformats.org/officeDocument/2006/relationships/hyperlink" Target="https://www.tiktok.com/@soylizadebri/video/7631305601934462215" TargetMode="External" Id="rId47" /><Relationship Type="http://schemas.openxmlformats.org/officeDocument/2006/relationships/hyperlink" Target="https://www.tiktok.com/@manifestadoras/video/7269511948922866950" TargetMode="External" Id="rId48" /><Relationship Type="http://schemas.openxmlformats.org/officeDocument/2006/relationships/hyperlink" Target="https://www.tiktok.com/@soylizadebri/video/7653600946005511432" TargetMode="External" Id="rId49" /><Relationship Type="http://schemas.openxmlformats.org/officeDocument/2006/relationships/hyperlink" Target="https://www.instagram.com/p/Ddy9JVOpxcU/" TargetMode="External" Id="rId50" /><Relationship Type="http://schemas.openxmlformats.org/officeDocument/2006/relationships/hyperlink" Target="https://www.instagram.com/p/DeAC0yMNK6c/" TargetMode="External" Id="rId51" /><Relationship Type="http://schemas.openxmlformats.org/officeDocument/2006/relationships/hyperlink" Target="https://www.tiktok.com/@manifestadoras/video/7202984141573344517" TargetMode="External" Id="rId52" /><Relationship Type="http://schemas.openxmlformats.org/officeDocument/2006/relationships/hyperlink" Target="https://www.instagram.com/p/DdcrJSjttQ2/" TargetMode="External" Id="rId53" /><Relationship Type="http://schemas.openxmlformats.org/officeDocument/2006/relationships/hyperlink" Target="https://www.instagram.com/p/DczOVOfsJo6/" TargetMode="External" Id="rId54" /><Relationship Type="http://schemas.openxmlformats.org/officeDocument/2006/relationships/hyperlink" Target="https://www.instagram.com/p/DdaQdkCNeLr/" TargetMode="External" Id="rId55" /><Relationship Type="http://schemas.openxmlformats.org/officeDocument/2006/relationships/hyperlink" Target="https://www.instagram.com/p/DcXb_yLNnb6/" TargetMode="External" Id="rId56" /><Relationship Type="http://schemas.openxmlformats.org/officeDocument/2006/relationships/hyperlink" Target="https://www.instagram.com/p/DdNKSKZz1CI/" TargetMode="External" Id="rId57" /><Relationship Type="http://schemas.openxmlformats.org/officeDocument/2006/relationships/hyperlink" Target="https://www.facebook.com/reel/4326892114252564/" TargetMode="External" Id="rId58" /><Relationship Type="http://schemas.openxmlformats.org/officeDocument/2006/relationships/hyperlink" Target="https://www.instagram.com/p/Dc2ExiwMdkX/" TargetMode="External" Id="rId59" /><Relationship Type="http://schemas.openxmlformats.org/officeDocument/2006/relationships/hyperlink" Target="https://www.instagram.com/p/DdFahcLNfg2/" TargetMode="External" Id="rId60" /><Relationship Type="http://schemas.openxmlformats.org/officeDocument/2006/relationships/hyperlink" Target="https://www.facebook.com/reel/2325501028218258/" TargetMode="External" Id="rId61" /><Relationship Type="http://schemas.openxmlformats.org/officeDocument/2006/relationships/hyperlink" Target="https://www.instagram.com/p/Dcm89nct3Mc/" TargetMode="External" Id="rId62" /><Relationship Type="http://schemas.openxmlformats.org/officeDocument/2006/relationships/hyperlink" Target="https://www.instagram.com/p/Dd5JvoGtoFC/" TargetMode="External" Id="rId63" /><Relationship Type="http://schemas.openxmlformats.org/officeDocument/2006/relationships/hyperlink" Target="https://www.facebook.com/reel/2931408003895018/" TargetMode="External" Id="rId64" /><Relationship Type="http://schemas.openxmlformats.org/officeDocument/2006/relationships/hyperlink" Target="https://www.instagram.com/p/DdAb5lMNKk5/" TargetMode="External" Id="rId65" /><Relationship Type="http://schemas.openxmlformats.org/officeDocument/2006/relationships/hyperlink" Target="https://www.facebook.com/reel/1606172144251021/" TargetMode="External" Id="rId66" /><Relationship Type="http://schemas.openxmlformats.org/officeDocument/2006/relationships/hyperlink" Target="https://www.instagram.com/p/DckT247NWAd/" TargetMode="External" Id="rId67" /><Relationship Type="http://schemas.openxmlformats.org/officeDocument/2006/relationships/hyperlink" Target="https://www.instagram.com/p/Dc7ZDExjQPf/" TargetMode="External" Id="rId68" /><Relationship Type="http://schemas.openxmlformats.org/officeDocument/2006/relationships/hyperlink" Target="https://www.instagram.com/p/DdkOiAts4IT/" TargetMode="External" Id="rId69" /><Relationship Type="http://schemas.openxmlformats.org/officeDocument/2006/relationships/hyperlink" Target="https://www.facebook.com/reel/1609978707244310/" TargetMode="External" Id="rId70" /><Relationship Type="http://schemas.openxmlformats.org/officeDocument/2006/relationships/hyperlink" Target="https://www.instagram.com/p/DeIfmHJNQW8/" TargetMode="External" Id="rId71" /><Relationship Type="http://schemas.openxmlformats.org/officeDocument/2006/relationships/hyperlink" Target="https://www.instagram.com/p/DcPlgPnNYrC/" TargetMode="External" Id="rId72" /><Relationship Type="http://schemas.openxmlformats.org/officeDocument/2006/relationships/hyperlink" Target="https://www.instagram.com/p/DcwRsbCJK3Y/" TargetMode="External" Id="rId73" /><Relationship Type="http://schemas.openxmlformats.org/officeDocument/2006/relationships/hyperlink" Target="https://www.instagram.com/p/DeA8R_KKKho/" TargetMode="External" Id="rId74" /><Relationship Type="http://schemas.openxmlformats.org/officeDocument/2006/relationships/hyperlink" Target="https://www.instagram.com/p/DeGCZ3qNgSw/" TargetMode="External" Id="rId75" /><Relationship Type="http://schemas.openxmlformats.org/officeDocument/2006/relationships/hyperlink" Target="https://www.instagram.com/p/DdcwFDrDfQV/" TargetMode="External" Id="rId76" /><Relationship Type="http://schemas.openxmlformats.org/officeDocument/2006/relationships/hyperlink" Target="https://www.instagram.com/p/DdsI9-ZN8wT/" TargetMode="External" Id="rId77" /><Relationship Type="http://schemas.openxmlformats.org/officeDocument/2006/relationships/hyperlink" Target="https://www.facebook.com/reel/2720591191671210/" TargetMode="External" Id="rId78" /><Relationship Type="http://schemas.openxmlformats.org/officeDocument/2006/relationships/hyperlink" Target="https://www.facebook.com/reel/1897028914817172/" TargetMode="External" Id="rId79"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110" customWidth="1" min="2" max="2"/>
  </cols>
  <sheetData>
    <row r="1">
      <c r="A1" s="1" t="inlineStr">
        <is>
          <t>SEMANA DEL 12 AL 18 DE OCTUBRE</t>
        </is>
      </c>
      <c r="B1" s="2" t="inlineStr"/>
    </row>
    <row r="2">
      <c r="A2" s="3" t="inlineStr">
        <is>
          <t>Qué cambió esta semana</t>
        </is>
      </c>
      <c r="B2" s="2" t="inlineStr">
        <is>
          <t>Guiones más largos (2 a 3 min en TikTok) y ajustados con los hallazgos de tu competencia: cada pieza trae LISTA DE 3, un DATO real (estudio o famoso) y un HACKEO para hacer contigo.</t>
        </is>
      </c>
    </row>
    <row r="3">
      <c r="A3" s="3" t="inlineStr">
        <is>
          <t>TÍTULO DEL REEL</t>
        </is>
      </c>
      <c r="B3" s="2" t="inlineStr">
        <is>
          <t>Columna E, en morado grande: es el nombre de cada reel. Va como texto grande en pantalla los primeros 3 segundos y como portada.</t>
        </is>
      </c>
    </row>
    <row r="4">
      <c r="A4" s="3" t="inlineStr">
        <is>
          <t>Guion por tiempos</t>
        </is>
      </c>
      <c r="B4" s="2" t="inlineStr">
        <is>
          <t>Todo lo que dices, con el segundo en que va cada parte. Las partes con ✂️ forman el corte de 60 a 90 s para Reels y Shorts.</t>
        </is>
      </c>
    </row>
    <row r="5">
      <c r="A5" s="3" t="inlineStr">
        <is>
          <t>TU HISTORIA</t>
        </is>
      </c>
      <c r="B5" s="2" t="inlineStr">
        <is>
          <t>Va entre [corchetes]: es tu experiencia real, yo no la invento. Llénala antes de grabar o sáltala.</t>
        </is>
      </c>
    </row>
    <row r="6">
      <c r="A6" s="3" t="inlineStr">
        <is>
          <t>Datos y famosos</t>
        </is>
      </c>
      <c r="B6" s="2" t="inlineStr">
        <is>
          <t>Todos son hechos públicos (Stanford 2023, Pennebaker, Skinner, Viktor Frankl, OMS, Gollwitzer, Jim Carrey, Beyoncé, Steve Jobs, Sara Blakely). Se dicen como dato, sin prometer resultados.</t>
        </is>
      </c>
    </row>
    <row r="7">
      <c r="A7" s="3" t="inlineStr">
        <is>
          <t>Hora (Monterrey)</t>
        </is>
      </c>
      <c r="B7" s="2" t="inlineStr">
        <is>
          <t>De tus 40 TikToks: de 18 a 21 h rinden 6.3x tu mediana (7 videos) y de 10 a 13 h, 1.6x (5 videos). Es una señal, no una certeza.</t>
        </is>
      </c>
    </row>
    <row r="8">
      <c r="A8" s="3" t="inlineStr">
        <is>
          <t>Hashtags</t>
        </is>
      </c>
      <c r="B8" s="2" t="inlineStr">
        <is>
          <t>5 por pieza: #mabradiante + 2 del problema del día + 1 de tu nicho + #mty.</t>
        </is>
      </c>
    </row>
    <row r="9">
      <c r="A9" s="3" t="inlineStr">
        <is>
          <t>Rendimiento esperado</t>
        </is>
      </c>
      <c r="B9" s="2" t="inlineStr">
        <is>
          <t>La meta contra tus propios números. No es una predicción.</t>
        </is>
      </c>
    </row>
    <row r="10">
      <c r="A10" s="3" t="inlineStr">
        <is>
          <t>Celdas amarillas</t>
        </is>
      </c>
      <c r="B10" s="2" t="inlineStr">
        <is>
          <t>Las llenas tú: ¿Grabado?, ¿Publicado?, tus números reales y si coincidió con la simulación.</t>
        </is>
      </c>
    </row>
    <row r="11">
      <c r="A11" s="3" t="inlineStr">
        <is>
          <t>Pestañas</t>
        </is>
      </c>
      <c r="B11" s="2" t="inlineStr">
        <is>
          <t>Calendario · Guion por partes · Mi semana · Podcast y YouTube · Querido Ex · Competencia (79 piezas) · Patrones de viralidad.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0" customWidth="1" min="3" max="3"/>
    <col width="8" customWidth="1" min="4" max="4"/>
    <col width="34" customWidth="1" min="5" max="5"/>
    <col width="20" customWidth="1" min="6" max="6"/>
    <col width="24" customWidth="1" min="7" max="7"/>
    <col width="22" customWidth="1" min="8" max="8"/>
    <col width="22" customWidth="1" min="9" max="9"/>
    <col width="90" customWidth="1" min="10" max="10"/>
    <col width="18" customWidth="1" min="11" max="11"/>
    <col width="26" customWidth="1" min="12" max="12"/>
    <col width="13" customWidth="1" min="13" max="13"/>
    <col width="22" customWidth="1" min="14" max="14"/>
    <col width="45" customWidth="1" min="15" max="15"/>
    <col width="30" customWidth="1" min="16" max="16"/>
    <col width="36" customWidth="1" min="17" max="17"/>
    <col width="34" customWidth="1" min="18" max="18"/>
    <col width="34" customWidth="1" min="19" max="19"/>
    <col width="44" customWidth="1" min="20" max="20"/>
    <col width="40" customWidth="1" min="21" max="21"/>
    <col width="11" customWidth="1" min="22" max="22"/>
    <col width="34" customWidth="1" min="23" max="23"/>
    <col width="10" customWidth="1" min="24" max="24"/>
    <col width="10" customWidth="1" min="25" max="25"/>
    <col width="10" customWidth="1" min="26" max="26"/>
    <col width="10" customWidth="1" min="27" max="27"/>
    <col width="11" customWidth="1" min="28" max="28"/>
    <col width="11" customWidth="1" min="29" max="29"/>
    <col width="16" customWidth="1" min="30" max="30"/>
  </cols>
  <sheetData>
    <row r="1" ht="40" customHeight="1">
      <c r="A1" s="4" t="inlineStr">
        <is>
          <t>Día</t>
        </is>
      </c>
      <c r="B1" s="4" t="inlineStr">
        <is>
          <t>Fecha</t>
        </is>
      </c>
      <c r="C1" s="4" t="inlineStr">
        <is>
          <t>Hora (Monterrey)</t>
        </is>
      </c>
      <c r="D1" s="4" t="inlineStr">
        <is>
          <t>PIEZA</t>
        </is>
      </c>
      <c r="E1" s="4" t="inlineStr">
        <is>
          <t>TÍTULO DEL REEL (portada / texto en pantalla)</t>
        </is>
      </c>
      <c r="F1" s="4" t="inlineStr">
        <is>
          <t>PLATAFORMAS</t>
        </is>
      </c>
      <c r="G1" s="4" t="inlineStr">
        <is>
          <t>TEMA (problema)</t>
        </is>
      </c>
      <c r="H1" s="4" t="inlineStr">
        <is>
          <t>TIPO DE HOOK</t>
        </is>
      </c>
      <c r="I1" s="4" t="inlineStr">
        <is>
          <t>EMOCIÓN</t>
        </is>
      </c>
      <c r="J1" s="4" t="inlineStr">
        <is>
          <t>GUION COMPLETO POR TIEMPOS (✂️ = va en el corte de Reels)</t>
        </is>
      </c>
      <c r="K1" s="4" t="inlineStr">
        <is>
          <t>DURACIÓN</t>
        </is>
      </c>
      <c r="L1" s="4" t="inlineStr">
        <is>
          <t>FORMATO</t>
        </is>
      </c>
      <c r="M1" s="4" t="inlineStr">
        <is>
          <t>CTA: comenta…</t>
        </is>
      </c>
      <c r="N1" s="4" t="inlineStr">
        <is>
          <t>Producto</t>
        </is>
      </c>
      <c r="O1" s="4" t="inlineStr">
        <is>
          <t>COPY OUT (TikTok, Instagram y Facebook)</t>
        </is>
      </c>
      <c r="P1" s="4" t="inlineStr">
        <is>
          <t>Título YouTube Shorts</t>
        </is>
      </c>
      <c r="Q1" s="4" t="inlineStr">
        <is>
          <t>HASHTAGS</t>
        </is>
      </c>
      <c r="R1" s="4" t="inlineStr">
        <is>
          <t>RENDIMIENTO ESPERADO</t>
        </is>
      </c>
      <c r="S1" s="4" t="inlineStr">
        <is>
          <t>PATRÓN viral que usa</t>
        </is>
      </c>
      <c r="T1" s="4" t="inlineStr">
        <is>
          <t>Por qué en este orden y a esta hora</t>
        </is>
      </c>
      <c r="U1" s="4" t="inlineStr">
        <is>
          <t>Simulación (no predice vistas)</t>
        </is>
      </c>
      <c r="V1" s="4" t="inlineStr">
        <is>
          <t>Calificación</t>
        </is>
      </c>
      <c r="W1" s="4" t="inlineStr">
        <is>
          <t>Nota de la pieza</t>
        </is>
      </c>
      <c r="X1" s="4" t="inlineStr">
        <is>
          <t>¿Grabado?</t>
        </is>
      </c>
      <c r="Y1" s="4" t="inlineStr">
        <is>
          <t>¿Publicado?</t>
        </is>
      </c>
      <c r="Z1" s="4" t="inlineStr">
        <is>
          <t>Vistas reales</t>
        </is>
      </c>
      <c r="AA1" s="4" t="inlineStr">
        <is>
          <t>Likes reales</t>
        </is>
      </c>
      <c r="AB1" s="4" t="inlineStr">
        <is>
          <t>Comentarios reales</t>
        </is>
      </c>
      <c r="AC1" s="4" t="inlineStr">
        <is>
          <t>Compartidos reales</t>
        </is>
      </c>
      <c r="AD1" s="4" t="inlineStr">
        <is>
          <t>¿Coincidió con la simulación?</t>
        </is>
      </c>
    </row>
    <row r="2" ht="409" customHeight="1">
      <c r="A2" s="5" t="inlineStr">
        <is>
          <t>Lunes</t>
        </is>
      </c>
      <c r="B2" s="5" t="inlineStr">
        <is>
          <t>2026-10-12</t>
        </is>
      </c>
      <c r="C2" s="5" t="inlineStr">
        <is>
          <t>12:30</t>
        </is>
      </c>
      <c r="D2" s="6" t="inlineStr">
        <is>
          <t>LUN-1</t>
        </is>
      </c>
      <c r="E2" s="7" t="inlineStr">
        <is>
          <t>3 SEÑALES DE QUE TU MENTE RECHAZA EL DINERO</t>
        </is>
      </c>
      <c r="F2" s="5" t="inlineStr">
        <is>
          <t>TikTok · Instagram Reels · Facebook Reels · YouTube Shorts</t>
        </is>
      </c>
      <c r="G2" s="5" t="inlineStr">
        <is>
          <t>Dinero · programas de escasez</t>
        </is>
      </c>
      <c r="H2" s="5" t="inlineStr">
        <is>
          <t>G1 + lista · Romper creencia + 3 señales</t>
        </is>
      </c>
      <c r="I2" s="5" t="inlineStr">
        <is>
          <t>Identificación: «eso me pasa a mí»</t>
        </is>
      </c>
      <c r="J2" s="5" t="inlineStr">
        <is>
          <t>[0:00–0:11] GANCHO ✂️: "No es que no te alcance el dinero. Es que tu mente tiene 3 programas que lo sacan de tu vida, y casi nadie los ve."
[0:11–0:21] GUARDAR Y COMPARTIR ✂️: "Guarda este video antes de que se te pierda y compártelo con alguien que siente que el dinero se le escapa de las manos."
[0:21–0:41] DOLOR: "Te pagan y a la semana ya no hay. Te llega un dinero extra y justo aparece un gasto del mismo tamaño. Y empiezas a creer que el dinero no es para ti. No eres tú. Es un programa que se instaló antes de que pudieras elegirlo."
[0:41–1:02] LISTA DE 3 ✂️: "Estas son las 3 señales: 1. Cuando te llega dinero sientes alivio… y luego culpa o miedo a perderlo. 2. Te cuesta cobrar lo que vale tu trabajo, y pedir más te da vergüenza. 3. En tu casa, hablar de dinero era sinónimo de pelea o de «no alcanza»."
[1:02–1:25] DATO / AUTORIDAD: "Los investigadores Sendhil Mullainathan y Eldar Shafir lo explican en su libro «Escasez»: cuando la mente vive en carencia, le queda menos espacio para pensar y decidir. No es falta de inteligencia: es una mente ocupada sobreviviendo. Desde lo energético, es una frecuencia de «no alcanza» que se repite hasta que la ves."
[1:25–1:45] TU HISTORIA: "[TU HISTORIA REAL, 15–20 s: la frase de dinero que más escuchaste de niña y cómo se repitió en tu vida]"
[1:45–2:30] HACKEO (hazlo conmigo) ✂️: "Esta noche toma una hoja. Arriba escribe la frase de dinero que más escuchaste de niña. Abajo escribe su versión nueva. Por ejemplo: «no alcanza» se convierte en «el dinero llega y yo sé sostenerlo». Léela en voz alta 3 veces antes de dormir, durante 7 noches. Repite conmigo: el dinero llega y yo sé sostenerlo. El dinero llega y yo sé sostenerlo. El dinero llega y yo sé sostenerlo."
[2:30–2:39] REVELACIÓN: "El dinero no se va porque seas mala con él. Se va porque tu cuerpo todavía no se siente seguro teniéndolo."
[2:39–2:44] COMENTA ✂️: "Comenta SEÑALES y dime cuál de las 3 es la tuya."
[2:44–2:50] CTA: "Sígueme: esta semana te traigo un hackeo para cada área de tu vida."</t>
        </is>
      </c>
      <c r="K2" s="5" t="inlineStr">
        <is>
          <t>TikTok ≈ 2:50 min
Reels/Shorts ≈ 1:32 min</t>
        </is>
      </c>
      <c r="L2" s="5" t="inlineStr">
        <is>
          <t>Video vertical 9:16, cara a cámara. TikTok: versión completa. Reels y Shorts: corte con las partes ✂️. Pon el TÍTULO DEL REEL como texto grande en pantalla los primeros 3 s y como portada.</t>
        </is>
      </c>
      <c r="M2" s="5" t="inlineStr">
        <is>
          <t>SEÑALES</t>
        </is>
      </c>
      <c r="N2" s="5" t="inlineStr">
        <is>
          <t>Sin venta (conexión)</t>
        </is>
      </c>
      <c r="O2" s="5" t="inlineStr">
        <is>
          <t>¿El dinero se te escapa apenas llega? 💸 Estas son las 3 señales de que tu mente lo está rechazando. Guarda este video y comenta SEÑALES 👇
#mabradiante #dinero #abundancia #hackeatumente #mty</t>
        </is>
      </c>
      <c r="P2" s="5" t="inlineStr">
        <is>
          <t>3 señales de que tu mente rechaza el dinero #mabradiante #dinero #abundancia #hackeatumente #mty #shorts</t>
        </is>
      </c>
      <c r="Q2" s="5" t="inlineStr">
        <is>
          <t>#mabradiante #dinero #abundancia #hackeatumente #mty</t>
        </is>
      </c>
      <c r="R2" s="5" t="inlineStr">
        <is>
          <t>Meta: superar tu mediana de TikTok (11,850 vistas). Viral para ti: más de 17,775 (1.5x). Instagram, Facebook y YouTube: s/d, los medimos en la rutina semanal.</t>
        </is>
      </c>
      <c r="S2" s="5" t="inlineStr">
        <is>
          <t>P1 + P5 · Romper creencia + lista de señales</t>
        </is>
      </c>
      <c r="T2" s="5" t="inlineStr">
        <is>
          <t>Pieza 1 abre el tema del día con una creencia rota + lista de 3 señales (el combo que más rinde según tu competencia). Mediodía: tus TikToks de 10 a 13 h rinden 1.6x tu mediana (5 videos).</t>
        </is>
      </c>
      <c r="U2" s="5" t="inlineStr">
        <is>
          <t>Primera frase = gancho (G1, G2, G6 o G9), sin saludo: 2
Quita la culpa antes de enseñar: 1
Un dato de ciencia o un ejemplo real (hallazgo 2): 1
Algo para usar ya (hallazgo 1): 2
Pide guardar/compartir en los primeros 15 s: 1
Pide comentar una palabra: 1
Venta al final en 1 frase (o sin venta): 1
Vocabulario BNQ™, nada de la lista prohibida: 1
Total: 10/10
Lista de 3 (hallazgo 2): sí</t>
        </is>
      </c>
      <c r="V2" s="5" t="inlineStr">
        <is>
          <t>10/10</t>
        </is>
      </c>
      <c r="W2" s="5" t="inlineStr">
        <is>
          <t>Pieza de conexión (sin venta). Aplica H2: romper creencia + lista de 3 señales + estudio real.</t>
        </is>
      </c>
      <c r="X2" s="8" t="inlineStr"/>
      <c r="Y2" s="8" t="inlineStr"/>
      <c r="Z2" s="8" t="inlineStr"/>
      <c r="AA2" s="8" t="inlineStr"/>
      <c r="AB2" s="8" t="inlineStr"/>
      <c r="AC2" s="8" t="inlineStr"/>
      <c r="AD2" s="8" t="inlineStr"/>
    </row>
    <row r="3" ht="409" customHeight="1">
      <c r="A3" s="5" t="inlineStr">
        <is>
          <t>Lunes</t>
        </is>
      </c>
      <c r="B3" s="5" t="inlineStr">
        <is>
          <t>2026-10-12</t>
        </is>
      </c>
      <c r="C3" s="5" t="inlineStr">
        <is>
          <t>18:30</t>
        </is>
      </c>
      <c r="D3" s="6" t="inlineStr">
        <is>
          <t>LUN-2</t>
        </is>
      </c>
      <c r="E3" s="7" t="inlineStr">
        <is>
          <t>DI ESTO CADA VEZ QUE PAGUES ALGO</t>
        </is>
      </c>
      <c r="F3" s="5" t="inlineStr">
        <is>
          <t>TikTok · Instagram Reels · Facebook Reels · YouTube Shorts</t>
        </is>
      </c>
      <c r="G3" s="5" t="inlineStr">
        <is>
          <t>Dinero · miedo al gastar o recibir</t>
        </is>
      </c>
      <c r="H3" s="5" t="inlineStr">
        <is>
          <t>G2 · Promesa práctica («Cuidado con este video…»)</t>
        </is>
      </c>
      <c r="I3" s="5" t="inlineStr">
        <is>
          <t>Alivio: «algo que puedo hacer ya»</t>
        </is>
      </c>
      <c r="J3" s="5" t="inlineStr">
        <is>
          <t>[0:00–0:08] GANCHO ✂️: "Cuidado con este video porque vamos a cambiar la forma en que tu cuerpo recibe y suelta el dinero."
[0:08–0:16] GUARDAR Y COMPARTIR ✂️: "Guárdalo antes de que se te pierda y compártelo con la amiga que siempre dice «no me alcanza»."
[0:16–0:29] DOLOR: "Abres la app del banco y se te aprieta el estómago. Pagas algo y sientes que pierdes. Eso no es tacañería: es tu sistema nervioso asociando dinero con peligro."
[0:29–0:46] LISTA DE 3 ✂️: "Lo vamos a hacer en 3 pasos: 1. Antes de pagar, pon la mano en el pecho y exhala largo. 2. Mira el dinero o la pantalla y di el decreto. 3. Sonríe al pagar, aunque al principio te cueste."
[0:46–1:02] DATO / AUTORIDAD: "Tu cerebro aprende por repetición: cada vez que repites una sensación, esa conexión neuronal se fortalece. Por eso este ritual se hace 3 veces y durante 7 días. Lo espiritual lo llama decreto; la neurociencia, neuroplasticidad."
[1:02–1:47] HACKEO (hazlo conmigo) ✂️: "Hagámoslo juntas ahora. Mano en el pecho. Inhala… y exhala largo. Ahora repite conmigo: gracias por llegar, te recibo con calma, te dejo ir sabiendo que regresas multiplicado. Otra vez: gracias por llegar, te recibo con calma, te dejo ir sabiendo que regresas multiplicado. Una más: gracias por llegar, te recibo con calma, te dejo ir sabiendo que regresas multiplicado. Tarro de miel, tarro de miel, tarro de miel."
[1:47–1:55] REVELACIÓN: "No necesitas más dinero para estar en paz con él. Necesitas paz para que el dinero se quede."
[1:55–1:58] COMENTA ✂️: "Cuando lo hagas, comenta HECHO ESTÁ."
[1:58–2:01] CTA: "Guárdalo y hazlo 7 días seguidos."</t>
        </is>
      </c>
      <c r="K3" s="5" t="inlineStr">
        <is>
          <t>TikTok ≈ 2:01 min
Reels/Shorts ≈ 1:21 min</t>
        </is>
      </c>
      <c r="L3" s="5" t="inlineStr">
        <is>
          <t>Video vertical 9:16, cara a cámara. TikTok: versión completa. Reels y Shorts: corte con las partes ✂️. Pon el TÍTULO DEL REEL como texto grande en pantalla los primeros 3 s y como portada.</t>
        </is>
      </c>
      <c r="M3" s="5" t="inlineStr">
        <is>
          <t>HECHO ESTÁ</t>
        </is>
      </c>
      <c r="N3" s="5" t="inlineStr">
        <is>
          <t>Sin venta (conexión)</t>
        </is>
      </c>
      <c r="O3" s="5" t="inlineStr">
        <is>
          <t>Di esto cada vez que pagues algo 💛 Un ritual de 30 segundos para que tu cuerpo deje de vivir el dinero como peligro. Guárdalo y comenta HECHO ESTÁ 👇
#mabradiante #dinero #abundancia #hackeatumente #mty</t>
        </is>
      </c>
      <c r="P3" s="5" t="inlineStr">
        <is>
          <t>Di esto cada vez que pagues algo #mabradiante #dinero #abundancia #hackeatumente #mty #shorts</t>
        </is>
      </c>
      <c r="Q3" s="5" t="inlineStr">
        <is>
          <t>#mabradiante #dinero #abundancia #hackeatumente #mty</t>
        </is>
      </c>
      <c r="R3" s="5" t="inlineStr">
        <is>
          <t>Meta: superar tu mediana de TikTok (11,850 vistas). Viral para ti: más de 17,775 (1.5x). Instagram, Facebook y YouTube: s/d, los medimos en la rutina semanal.</t>
        </is>
      </c>
      <c r="S3" s="5" t="inlineStr">
        <is>
          <t>P2 · Herramienta para usar ya</t>
        </is>
      </c>
      <c r="T3" s="5" t="inlineStr">
        <is>
          <t>Pieza 2 es la herramienta para usar ya: el patrón #1 de tu competencia (26x) y el de tus 4 videos más vistos. Va en tu mejor horario: de 18 a 21 h tus TikToks rinden 6.3x tu mediana (7 videos).</t>
        </is>
      </c>
      <c r="U3" s="5"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3" s="5" t="inlineStr">
        <is>
          <t>9/10</t>
        </is>
      </c>
      <c r="W3" s="5" t="inlineStr">
        <is>
          <t>Herramienta para usar ya (H1): mismo formato que tus 4 videos más vistos.</t>
        </is>
      </c>
      <c r="X3" s="8" t="inlineStr"/>
      <c r="Y3" s="8" t="inlineStr"/>
      <c r="Z3" s="8" t="inlineStr"/>
      <c r="AA3" s="8" t="inlineStr"/>
      <c r="AB3" s="8" t="inlineStr"/>
      <c r="AC3" s="8" t="inlineStr"/>
      <c r="AD3" s="8" t="inlineStr"/>
    </row>
    <row r="4" ht="409" customHeight="1">
      <c r="A4" s="5" t="inlineStr">
        <is>
          <t>Lunes</t>
        </is>
      </c>
      <c r="B4" s="5" t="inlineStr">
        <is>
          <t>2026-10-12</t>
        </is>
      </c>
      <c r="C4" s="5" t="inlineStr">
        <is>
          <t>20:30</t>
        </is>
      </c>
      <c r="D4" s="6" t="inlineStr">
        <is>
          <t>LUN-3</t>
        </is>
      </c>
      <c r="E4" s="7" t="inlineStr">
        <is>
          <t>EL CHEQUE DE 10 MILLONES DE JIM CARREY</t>
        </is>
      </c>
      <c r="F4" s="5" t="inlineStr">
        <is>
          <t>TikTok · Instagram Reels · Facebook Reels · YouTube Shorts</t>
        </is>
      </c>
      <c r="G4" s="5" t="inlineStr">
        <is>
          <t>Dinero · visualizas y no llega</t>
        </is>
      </c>
      <c r="H4" s="5" t="inlineStr">
        <is>
          <t>G9 · Ejemplo famoso + lista</t>
        </is>
      </c>
      <c r="I4" s="5" t="inlineStr">
        <is>
          <t>Curiosidad: «¿cómo lo hizo?»</t>
        </is>
      </c>
      <c r="J4" s="5" t="inlineStr">
        <is>
          <t>[0:00–0:12] GANCHO ✂️: "Jim Carrey se escribió un cheque de 10 millones de dólares cuando todavía no tenía éxito. Y lo que hizo después es lo que casi nadie cuenta."
[0:12–0:18] GUARDAR Y COMPARTIR ✂️: "Guárdalo y compártelo con alguien que ya hizo su vision board y sigue esperando."
[0:18–0:26] DOLOR: "Tú también has escrito metas, has visualizado, has hecho rituales… y nada. Y empiezas a preguntarte qué te falta."
[0:26–0:59] LISTA DE 3 ✂️: "Lo que hizo Carrey tiene 3 partes, y si te falta una, tu visualización se queda en sueño: 1. Una cifra y una fecha concretas: él puso 10 millones y Acción de Gracias de 1995. 2. Sentirlo en el cuerpo, no solo pensarlo: él lo cargaba en la cartera y lo veía cada día. 3. Actuar cada día como la persona que ya lo tiene: él mismo dice que no basta con visualizar y sentarse a esperar."
[0:59–1:20] DATO / AUTORIDAD: "Carrey contó en entrevistas que a principios de los 90 se escribió ese cheque «por servicios de actuación prestados». Poco antes de esa fecha supo que le pagarían 10 millones por una película. Lo espiritual lo llama decretar; la psicología lo llama identidad: actúas según quien crees que eres."
[1:20–1:40] TU HISTORIA: "[TU HISTORIA REAL, 15–20 s: una meta que se te dio cuando empezaste a actuar como si ya la tuvieras]"
[1:40–2:21] HACKEO (hazlo conmigo) ✂️: "Hoy escribe tu propio cheque: tu nombre, una cifra realista para los próximos 12 meses y una fecha. Detrás escribe: ¿qué haría hoy la mujer que ya cobra esto? Y haz una de esas cosas hoy mismo. Repite conmigo: soy la mujer que ya lo recibe. Soy la mujer que ya lo recibe. Soy la mujer que ya lo recibe."
[2:21–2:28] REVELACIÓN: "El cheque no trae el dinero. Te cambia a ti, y tú traes el dinero."
[2:28–2:33] COMENTA ✂️: "Si quieres que te guíe, comenta ADN y te mando el link."
[2:33–2:40] CTA: "En ADN Millonario trabajamos los programas de dinero que heredaste para activar tu frecuencia de abundancia."</t>
        </is>
      </c>
      <c r="K4" s="5" t="inlineStr">
        <is>
          <t>TikTok ≈ 2:40 min
Reels/Shorts ≈ 1:37 min</t>
        </is>
      </c>
      <c r="L4" s="5" t="inlineStr">
        <is>
          <t>Video vertical 9:16, cara a cámara. TikTok: versión completa. Reels y Shorts: corte con las partes ✂️. Pon el TÍTULO DEL REEL como texto grande en pantalla los primeros 3 s y como portada.</t>
        </is>
      </c>
      <c r="M4" s="5" t="inlineStr">
        <is>
          <t>ADN</t>
        </is>
      </c>
      <c r="N4" s="5" t="inlineStr">
        <is>
          <t>ADN Millonario · $750</t>
        </is>
      </c>
      <c r="O4" s="5" t="inlineStr">
        <is>
          <t>Jim Carrey se escribió un cheque de 10 millones antes de tener éxito 🧾 Te cuento las 3 partes que casi nadie hace. Comenta ADN y te mando el link 👇
#mabradiante #dinero #abundancia #hackeatumente #mty</t>
        </is>
      </c>
      <c r="P4" s="5" t="inlineStr">
        <is>
          <t>El cheque de 10 millones de Jim Carrey #mabradiante #dinero #abundancia #hackeatumente #mty #shorts</t>
        </is>
      </c>
      <c r="Q4" s="5" t="inlineStr">
        <is>
          <t>#mabradiante #dinero #abundancia #hackeatumente #mty</t>
        </is>
      </c>
      <c r="R4" s="5" t="inlineStr">
        <is>
          <t>Meta: superar tu mediana de TikTok (11,850 vistas). Viral para ti: más de 17,775 (1.5x). Instagram, Facebook y YouTube: s/d, los medimos en la rutina semanal.</t>
        </is>
      </c>
      <c r="S4" s="5" t="inlineStr">
        <is>
          <t>P7 + P5 · Famoso + lista de 3</t>
        </is>
      </c>
      <c r="T4" s="5" t="inlineStr">
        <is>
          <t>Pieza 3 vende, apoyada en un famoso o estudio real (7.6x) + lista. Va al final del día, cuando ya calentaste el tema. Sigue en tu mejor franja.</t>
        </is>
      </c>
      <c r="U4" s="5"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4" s="5" t="inlineStr">
        <is>
          <t>9/10</t>
        </is>
      </c>
      <c r="W4" s="5" t="inlineStr">
        <is>
          <t>Pieza de venta del día (1 de 3). Aplica H2: famoso real + lista de 3.</t>
        </is>
      </c>
      <c r="X4" s="8" t="inlineStr"/>
      <c r="Y4" s="8" t="inlineStr"/>
      <c r="Z4" s="8" t="inlineStr"/>
      <c r="AA4" s="8" t="inlineStr"/>
      <c r="AB4" s="8" t="inlineStr"/>
      <c r="AC4" s="8" t="inlineStr"/>
      <c r="AD4" s="8" t="inlineStr"/>
    </row>
    <row r="5" ht="409" customHeight="1">
      <c r="A5" s="9" t="inlineStr">
        <is>
          <t>Martes</t>
        </is>
      </c>
      <c r="B5" s="9" t="inlineStr">
        <is>
          <t>2026-10-13</t>
        </is>
      </c>
      <c r="C5" s="9" t="inlineStr">
        <is>
          <t>12:30</t>
        </is>
      </c>
      <c r="D5" s="10" t="inlineStr">
        <is>
          <t>MAR-1</t>
        </is>
      </c>
      <c r="E5" s="11" t="inlineStr">
        <is>
          <t>3 SEÑALES DE ANSIEDAD QUE CREES QUE SON TU PERSONALIDAD</t>
        </is>
      </c>
      <c r="F5" s="9" t="inlineStr">
        <is>
          <t>TikTok · Instagram Reels · Facebook Reels · YouTube Shorts</t>
        </is>
      </c>
      <c r="G5" s="9" t="inlineStr">
        <is>
          <t>Ansiedad · se confunde con personalidad</t>
        </is>
      </c>
      <c r="H5" s="9" t="inlineStr">
        <is>
          <t>G1 + lista · Romper creencia + 3 señales</t>
        </is>
      </c>
      <c r="I5" s="9" t="inlineStr">
        <is>
          <t>Identificación: «eso me pasa a mí»</t>
        </is>
      </c>
      <c r="J5" s="9" t="inlineStr">
        <is>
          <t>[0:00–0:08] GANCHO ✂️: "No eres intensa ni exagerada. Hay 3 señales de ansiedad que la mayoría confunde con su forma de ser."
[0:08–0:13] GUARDAR Y COMPARTIR ✂️: "Guárdalo y compártelo con alguien a quien siempre le dicen «relájate»."
[0:13–0:26] DOLOR: "Por fuera estás bien, por dentro vas corriendo. Te dicen «relájate» y te dan ganas de llorar. No es que seas así. Es que tu cuerpo aprendió a vivir en alerta."
[0:26–0:41] LISTA DE 3 ✂️: "Estas son las 3 señales: 1. Necesitas tener todo bajo control, y un cambio de planes te desarma. 2. Imaginas la peor versión de todo «para estar preparada». 3. Te cuesta descansar sin sentir culpa."
[0:41–1:02] DATO / AUTORIDAD: "La ciencia lo explica así: cuando el cerebro se acostumbra a estar en alerta, la amígdala, tu detector de peligro, se activa con más facilidad, y el cuerpo vive como si algo malo estuviera por pasar. Las tradiciones contemplativas lo llaman una mente que no está en el presente."
[1:02–1:22] TU HISTORIA: "[TU HISTORIA REAL, 15–20 s: cómo se veía tu ansiedad con TDAH antes de aprender a dirigir tu mente]"
[1:22–2:00] HACKEO (hazlo conmigo) ✂️: "Cuando notes una de estas 3 señales, ponle nombre en voz baja: «esto es mi alarma, no la realidad». Luego pregúntate: ¿qué es lo que sí está pasando ahora mismo? Repite conmigo: esto es mi alarma, no la realidad. Esto es mi alarma, no la realidad. Esto es mi alarma, no la realidad."
[2:00–2:06] REVELACIÓN: "Tú no eres ansiosa. Tienes una alarma que nadie te enseñó a apagar."
[2:06–2:11] COMENTA ✂️: "Comenta ALARMA y dime cuál de las 3 te pasa más."
[2:11–2:14] CTA: "Sígueme para más hackeos para tu mente."</t>
        </is>
      </c>
      <c r="K5" s="9" t="inlineStr">
        <is>
          <t>TikTok ≈ 2:14 min
Reels/Shorts ≈ 1:11 min</t>
        </is>
      </c>
      <c r="L5" s="9" t="inlineStr">
        <is>
          <t>Video vertical 9:16, cara a cámara. TikTok: versión completa. Reels y Shorts: corte con las partes ✂️. Pon el TÍTULO DEL REEL como texto grande en pantalla los primeros 3 s y como portada.</t>
        </is>
      </c>
      <c r="M5" s="9" t="inlineStr">
        <is>
          <t>ALARMA</t>
        </is>
      </c>
      <c r="N5" s="9" t="inlineStr">
        <is>
          <t>Sin venta (conexión)</t>
        </is>
      </c>
      <c r="O5" s="9" t="inlineStr">
        <is>
          <t>¿Y si no eres «intensa», sino que tu cuerpo vive en alerta? 🚨 3 señales de ansiedad que confundes con tu personalidad. Comenta ALARMA 👇
#mabradiante #ansiedad #calmamental #hackeatumente #mty</t>
        </is>
      </c>
      <c r="P5" s="9" t="inlineStr">
        <is>
          <t>3 señales de ansiedad que confundes con tu personalidad #mabradiante #ansiedad #calmamental #hackeatumente #mty #shorts</t>
        </is>
      </c>
      <c r="Q5" s="9" t="inlineStr">
        <is>
          <t>#mabradiante #ansiedad #calmamental #hackeatumente #mty</t>
        </is>
      </c>
      <c r="R5" s="9" t="inlineStr">
        <is>
          <t>Meta: superar tu mediana de TikTok (11,850 vistas). Viral para ti: más de 17,775 (1.5x). Instagram, Facebook y YouTube: s/d, los medimos en la rutina semanal.</t>
        </is>
      </c>
      <c r="S5" s="9" t="inlineStr">
        <is>
          <t>P1 + P5 · Romper creencia + lista de señales</t>
        </is>
      </c>
      <c r="T5" s="9" t="inlineStr">
        <is>
          <t>Pieza 1 abre el tema del día con una creencia rota + lista de 3 señales (el combo que más rinde según tu competencia). Mediodía: tus TikToks de 10 a 13 h rinden 1.6x tu mediana (5 videos).</t>
        </is>
      </c>
      <c r="U5" s="9" t="inlineStr">
        <is>
          <t>Primera frase = gancho (G1, G2, G6 o G9), sin saludo: 2
Quita la culpa antes de enseñar: 1
Un dato de ciencia o un ejemplo real (hallazgo 2): 1
Algo para usar ya (hallazgo 1): 2
Pide guardar/compartir en los primeros 15 s: 1
Pide comentar una palabra: 1
Venta al final en 1 frase (o sin venta): 1
Vocabulario BNQ™, nada de la lista prohibida: 1
Total: 10/10
Lista de 3 (hallazgo 2): sí</t>
        </is>
      </c>
      <c r="V5" s="9" t="inlineStr">
        <is>
          <t>10/10</t>
        </is>
      </c>
      <c r="W5" s="9" t="inlineStr">
        <is>
          <t>Sin venta. Sin diagnósticos: si la ansiedad es fuerte o constante, recomendar ayuda profesional.</t>
        </is>
      </c>
      <c r="X5" s="8" t="inlineStr"/>
      <c r="Y5" s="8" t="inlineStr"/>
      <c r="Z5" s="8" t="inlineStr"/>
      <c r="AA5" s="8" t="inlineStr"/>
      <c r="AB5" s="8" t="inlineStr"/>
      <c r="AC5" s="8" t="inlineStr"/>
      <c r="AD5" s="8" t="inlineStr"/>
    </row>
    <row r="6" ht="409" customHeight="1">
      <c r="A6" s="9" t="inlineStr">
        <is>
          <t>Martes</t>
        </is>
      </c>
      <c r="B6" s="9" t="inlineStr">
        <is>
          <t>2026-10-13</t>
        </is>
      </c>
      <c r="C6" s="9" t="inlineStr">
        <is>
          <t>18:30</t>
        </is>
      </c>
      <c r="D6" s="10" t="inlineStr">
        <is>
          <t>MAR-2</t>
        </is>
      </c>
      <c r="E6" s="11" t="inlineStr">
        <is>
          <t>EL SUSPIRO QUE BAJA LA ANSIEDAD EN 1 MINUTO</t>
        </is>
      </c>
      <c r="F6" s="9" t="inlineStr">
        <is>
          <t>TikTok · Instagram Reels · Facebook Reels · YouTube Shorts</t>
        </is>
      </c>
      <c r="G6" s="9" t="inlineStr">
        <is>
          <t>Ansiedad · ataque en el cuerpo</t>
        </is>
      </c>
      <c r="H6" s="9" t="inlineStr">
        <is>
          <t>G2 · Promesa práctica</t>
        </is>
      </c>
      <c r="I6" s="9" t="inlineStr">
        <is>
          <t>Alivio: «algo que puedo hacer ya»</t>
        </is>
      </c>
      <c r="J6" s="9" t="inlineStr">
        <is>
          <t>[0:00–0:07] GANCHO ✂️: "Haz esto conmigo ahora mismo y siente cómo baja la ansiedad en menos de un minuto."
[0:07–0:14] GUARDAR Y COMPARTIR ✂️: "Guárdalo para cuando lo necesites y compártelo con alguien que hoy trae el pecho apretado."
[0:14–0:24] DOLOR: "Ese nudo en el pecho, el corazón rápido, la mente que no para. Y todos te dicen «respira»… pero nadie te dice cómo."
[0:24–0:37] LISTA DE 3 ✂️: "Se llama suspiro cíclico y son 3 pasos: 1. Inhala por la nariz. 2. Encima, una segunda inhalación cortita, hasta llenarte. 3. Exhala largo y lento por la boca."
[0:37–1:00] DATO / AUTORIDAD: "En 2023, un estudio de la Universidad de Stanford, publicado en Cell Reports Medicine, comparó varias técnicas de respiración. Las personas que hicieron este suspiro 5 minutos al día mejoraron más su estado de ánimo que las que hicieron meditación de atención. La exhalación larga le avisa a tu cuerpo que no hay peligro."
[1:00–1:36] HACKEO (hazlo conmigo) ✂️: "Hagámoslo juntas. Inhala por la nariz… otra inhalación cortita encima… y exhala largo por la boca. Otra vez: inhala… otra cortita… exhala largo. Una vez más: inhala… cortita… y suelta todo. Ahora repite conmigo: estoy a salvo. Estoy a salvo. Estoy a salvo. Hielo azul, hielo azul, hielo azul."
[1:36–1:43] REVELACIÓN: "Tu respiración es el control remoto de tu sistema nervioso, y lo traes contigo a todas partes."
[1:43–1:46] COMENTA ✂️: "Si sentiste la diferencia, comenta CALMA."
[1:46–1:50] CTA: "Guárdalo y hazlo 5 minutos al día esta semana."</t>
        </is>
      </c>
      <c r="K6" s="9" t="inlineStr">
        <is>
          <t>TikTok ≈ 1:50 min
Reels/Shorts ≈ 1:06 min</t>
        </is>
      </c>
      <c r="L6" s="9" t="inlineStr">
        <is>
          <t>Video vertical 9:16, cara a cámara. TikTok: versión completa. Reels y Shorts: corte con las partes ✂️. Pon el TÍTULO DEL REEL como texto grande en pantalla los primeros 3 s y como portada.</t>
        </is>
      </c>
      <c r="M6" s="9" t="inlineStr">
        <is>
          <t>CALMA</t>
        </is>
      </c>
      <c r="N6" s="9" t="inlineStr">
        <is>
          <t>Sin venta (conexión)</t>
        </is>
      </c>
      <c r="O6" s="9" t="inlineStr">
        <is>
          <t>El suspiro que baja la ansiedad en 1 minuto 🫁 Lo estudió Stanford. Hazlo conmigo, guárdalo y comenta CALMA 👇
#mabradiante #ansiedad #calmamental #hackeatumente #mty</t>
        </is>
      </c>
      <c r="P6" s="9" t="inlineStr">
        <is>
          <t>El suspiro que baja la ansiedad en 1 minuto #mabradiante #ansiedad #calmamental #hackeatumente #mty #shorts</t>
        </is>
      </c>
      <c r="Q6" s="9" t="inlineStr">
        <is>
          <t>#mabradiante #ansiedad #calmamental #hackeatumente #mty</t>
        </is>
      </c>
      <c r="R6" s="9" t="inlineStr">
        <is>
          <t>Meta: superar tu mediana de TikTok (11,850 vistas). Viral para ti: más de 17,775 (1.5x). Instagram, Facebook y YouTube: s/d, los medimos en la rutina semanal.</t>
        </is>
      </c>
      <c r="S6" s="9" t="inlineStr">
        <is>
          <t>P2 + P7 · Herramienta + estudio</t>
        </is>
      </c>
      <c r="T6" s="9" t="inlineStr">
        <is>
          <t>Pieza 2 es la herramienta para usar ya: el patrón #1 de tu competencia (26x) y el de tus 4 videos más vistos. Va en tu mejor horario: de 18 a 21 h tus TikToks rinden 6.3x tu mediana (7 videos).</t>
        </is>
      </c>
      <c r="U6" s="9"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6" s="9" t="inlineStr">
        <is>
          <t>9/10</t>
        </is>
      </c>
      <c r="W6" s="9" t="inlineStr">
        <is>
          <t>Herramienta para usar ya (H1) + estudio real (H2). Sin promesas de curación.</t>
        </is>
      </c>
      <c r="X6" s="8" t="inlineStr"/>
      <c r="Y6" s="8" t="inlineStr"/>
      <c r="Z6" s="8" t="inlineStr"/>
      <c r="AA6" s="8" t="inlineStr"/>
      <c r="AB6" s="8" t="inlineStr"/>
      <c r="AC6" s="8" t="inlineStr"/>
      <c r="AD6" s="8" t="inlineStr"/>
    </row>
    <row r="7" ht="409" customHeight="1">
      <c r="A7" s="9" t="inlineStr">
        <is>
          <t>Martes</t>
        </is>
      </c>
      <c r="B7" s="9" t="inlineStr">
        <is>
          <t>2026-10-13</t>
        </is>
      </c>
      <c r="C7" s="9" t="inlineStr">
        <is>
          <t>20:30</t>
        </is>
      </c>
      <c r="D7" s="10" t="inlineStr">
        <is>
          <t>MAR-3</t>
        </is>
      </c>
      <c r="E7" s="11" t="inlineStr">
        <is>
          <t>15 MINUTOS DE ESCRITURA QUE CALMAN TU MENTE</t>
        </is>
      </c>
      <c r="F7" s="9" t="inlineStr">
        <is>
          <t>TikTok · Instagram Reels · Facebook Reels · YouTube Shorts</t>
        </is>
      </c>
      <c r="G7" s="9" t="inlineStr">
        <is>
          <t>Ansiedad · mente que no apaga en la noche</t>
        </is>
      </c>
      <c r="H7" s="9" t="inlineStr">
        <is>
          <t>G6 · Autoridad científica + lista</t>
        </is>
      </c>
      <c r="I7" s="9" t="inlineStr">
        <is>
          <t>Curiosidad: «¿cómo funciona?»</t>
        </is>
      </c>
      <c r="J7" s="9" t="inlineStr">
        <is>
          <t>[0:00–0:10] GANCHO ✂️: "Un psicólogo de Texas descubrió que escribir 15 minutos lo que sientes puede bajar tu carga mental. Y casi nadie lo usa."
[0:10–0:16] GUARDAR Y COMPARTIR ✂️: "Guárdalo y compártelo con alguien que se acuesta y su mente se prende."
[0:16–0:26] DOLOR: "Te acuestas, apagas la luz… y tu mente empieza a repasar todo lo que dijiste, lo que falta y lo que podría salir mal."
[0:26–0:40] LISTA DE 3 ✂️: "Tu mente no suelta por 3 errores muy comunes: 1. Intentas no pensar, y piensas más. 2. Te llevas los pendientes a la cama. 3. Te callas lo que sientes para no molestar."
[0:40–1:02] DATO / AUTORIDAD: "James Pennebaker, de la Universidad de Texas, estudió la «escritura expresiva»: personas que escribieron de 15 a 20 minutos sobre lo que sentían, durante unos días, reportaron sentirse mejor que las que escribieron de temas neutros. Desde lo energético: lo que no se expresa se queda dando vueltas en tu campo."
[1:02–1:22] TU HISTORIA: "[TU HISTORIA REAL, 15–20 s: qué hacías tú en las noches cuando tu mente no te dejaba dormir]"
[1:22–2:06] HACKEO (hazlo conmigo) ✂️: "Hoy, antes de dormir: 10 minutos escribiendo sin parar lo que sientes, no lo que tienes que hacer. No corrijas nada. Cuando termines, cierra la libreta y di: lo solté en el papel, ya no lo cargo en el cuerpo. Repite conmigo: lo solté en el papel, ya no lo cargo en el cuerpo. Lo solté en el papel, ya no lo cargo en el cuerpo."
[2:06–2:13] REVELACIÓN: "Lo que no se expresa se queda dando vueltas. Lo que escribes deja de cargarte."
[2:13–2:19] COMENTA ✂️: "Si tu mente no te deja dormir, comenta DORMIR y te mando el link."
[2:19–2:27] CTA: "En Querida Ansiedad te doy la auditoría mental y los audios para bajarle la velocidad a tu mente."</t>
        </is>
      </c>
      <c r="K7" s="9" t="inlineStr">
        <is>
          <t>TikTok ≈ 2:27 min
Reels/Shorts ≈ 1:20 min</t>
        </is>
      </c>
      <c r="L7" s="9" t="inlineStr">
        <is>
          <t>Video vertical 9:16, cara a cámara. TikTok: versión completa. Reels y Shorts: corte con las partes ✂️. Pon el TÍTULO DEL REEL como texto grande en pantalla los primeros 3 s y como portada.</t>
        </is>
      </c>
      <c r="M7" s="9" t="inlineStr">
        <is>
          <t>DORMIR</t>
        </is>
      </c>
      <c r="N7" s="9" t="inlineStr">
        <is>
          <t>Querida Ansiedad · $399</t>
        </is>
      </c>
      <c r="O7" s="9" t="inlineStr">
        <is>
          <t>15 minutos de escritura que calman tu mente ✍️ Lo estudió la Universidad de Texas. Te digo cómo hacerlo hoy. Comenta DORMIR y te mando el link 👇
#mabradiante #ansiedad #calmamental #hackeatumente #mty</t>
        </is>
      </c>
      <c r="P7" s="9" t="inlineStr">
        <is>
          <t>15 minutos de escritura que calman tu mente #mabradiante #ansiedad #calmamental #hackeatumente #mty #shorts</t>
        </is>
      </c>
      <c r="Q7" s="9" t="inlineStr">
        <is>
          <t>#mabradiante #ansiedad #calmamental #hackeatumente #mty</t>
        </is>
      </c>
      <c r="R7" s="9" t="inlineStr">
        <is>
          <t>Meta: superar tu mediana de TikTok (11,850 vistas). Viral para ti: más de 17,775 (1.5x). Instagram, Facebook y YouTube: s/d, los medimos en la rutina semanal.</t>
        </is>
      </c>
      <c r="S7" s="9" t="inlineStr">
        <is>
          <t>P7 + P5 · Estudio + lista de 3</t>
        </is>
      </c>
      <c r="T7" s="9" t="inlineStr">
        <is>
          <t>Pieza 3 vende, apoyada en un famoso o estudio real (7.6x) + lista. Va al final del día, cuando ya calentaste el tema. Sigue en tu mejor franja.</t>
        </is>
      </c>
      <c r="U7" s="9"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7" s="9" t="inlineStr">
        <is>
          <t>9/10</t>
        </is>
      </c>
      <c r="W7" s="9" t="inlineStr">
        <is>
          <t>Pieza de venta del día (1 de 3). Sin promesas de salud.</t>
        </is>
      </c>
      <c r="X7" s="8" t="inlineStr"/>
      <c r="Y7" s="8" t="inlineStr"/>
      <c r="Z7" s="8" t="inlineStr"/>
      <c r="AA7" s="8" t="inlineStr"/>
      <c r="AB7" s="8" t="inlineStr"/>
      <c r="AC7" s="8" t="inlineStr"/>
      <c r="AD7" s="8" t="inlineStr"/>
    </row>
    <row r="8" ht="409" customHeight="1">
      <c r="A8" s="12" t="inlineStr">
        <is>
          <t>Miércoles</t>
        </is>
      </c>
      <c r="B8" s="12" t="inlineStr">
        <is>
          <t>2026-10-14</t>
        </is>
      </c>
      <c r="C8" s="12" t="inlineStr">
        <is>
          <t>12:30</t>
        </is>
      </c>
      <c r="D8" s="13" t="inlineStr">
        <is>
          <t>MIÉ-1</t>
        </is>
      </c>
      <c r="E8" s="14" t="inlineStr">
        <is>
          <t>3 SEÑALES DE QUE NO ES AMOR, ES ENGANCHE</t>
        </is>
      </c>
      <c r="F8" s="12" t="inlineStr">
        <is>
          <t>TikTok · Instagram Reels · Facebook Reels · YouTube Shorts</t>
        </is>
      </c>
      <c r="G8" s="12" t="inlineStr">
        <is>
          <t>Relaciones · enganche que parece amor</t>
        </is>
      </c>
      <c r="H8" s="12" t="inlineStr">
        <is>
          <t>G1 + lista · Romper creencia + 3 señales</t>
        </is>
      </c>
      <c r="I8" s="12" t="inlineStr">
        <is>
          <t>Identificación: «eso me pasa a mí»</t>
        </is>
      </c>
      <c r="J8" s="12" t="inlineStr">
        <is>
          <t>[0:00–0:08] GANCHO ✂️: "No es que lo ames demasiado. Es que tu cerebro está enganchado, y hay 3 señales que lo delatan."
[0:08–0:14] GUARDAR Y COMPARTIR ✂️: "Guárdalo y compártelo con esa amiga que siempre vuelve con la misma persona."
[0:14–0:24] DOLOR: "Revisas si se conectó. Ves sus historias aunque te duelan. Te prometes no escribirle… y le escribes. No estás loca. Estás enganchada."
[0:24–0:44] LISTA DE 3 ✂️: "Estas son las 3 señales: 1. Te sientes peor cuando lo ves, pero no puedes dejar de buscarlo. 2. Un mensaje suyo te sube al cielo y su silencio te tira al piso. 3. Ya sabes que no te hace bien… y aun así lo justificas."
[0:44–1:07] DATO / AUTORIDAD: "El psicólogo B. F. Skinner observó que cuando una recompensa llega a veces sí y a veces no, la conducta se vuelve más difícil de soltar. Es lo mismo que pasa con las máquinas tragamonedas. Por eso una relación intermitente engancha más que una estable. En lo energético, es un cordón que sigue abierto."
[1:07–1:27] TU HISTORIA: "[TU HISTORIA REAL, 15–20 s: una relación en la que confundiste intensidad con amor]"
[1:27–2:06] HACKEO (hazlo conmigo) ✂️: "Esta semana, cada vez que quieras revisar su perfil, cuenta hasta 10 y di en voz baja: esto es enganche, no amor; mi atención es mía. Repite conmigo: esto es enganche, no amor; mi atención es mía. Esto es enganche, no amor; mi atención es mía. Esto es enganche, no amor; mi atención es mía."
[2:06–2:13] REVELACIÓN: "El enganche se siente como amor porque es intenso. El amor sano se siente como paz."
[2:13–2:17] COMENTA ✂️: "Comenta ENGANCHE si te pasó o te está pasando."
[2:17–2:20] CTA: "Sígueme: estoy preparando algo para ayudarte a soltar."</t>
        </is>
      </c>
      <c r="K8" s="12" t="inlineStr">
        <is>
          <t>TikTok ≈ 2:20 min
Reels/Shorts ≈ 1:17 min</t>
        </is>
      </c>
      <c r="L8" s="12" t="inlineStr">
        <is>
          <t>Video vertical 9:16, cara a cámara. TikTok: versión completa. Reels y Shorts: corte con las partes ✂️. Pon el TÍTULO DEL REEL como texto grande en pantalla los primeros 3 s y como portada.</t>
        </is>
      </c>
      <c r="M8" s="12" t="inlineStr">
        <is>
          <t>ENGANCHE</t>
        </is>
      </c>
      <c r="N8" s="12" t="inlineStr">
        <is>
          <t>Sin venta (conexión)</t>
        </is>
      </c>
      <c r="O8" s="12" t="inlineStr">
        <is>
          <t>¿Es amor o es enganche? 💔 3 señales que lo delatan (y por qué una relación intermitente engancha más). Comenta ENGANCHE 👇
#mabradiante #relaciones #amorpropio #dependenciaemocional #mty</t>
        </is>
      </c>
      <c r="P8" s="12" t="inlineStr">
        <is>
          <t>3 señales de que no es amor, es enganche #mabradiante #relaciones #amorpropio #dependenciaemocional #mty #shorts</t>
        </is>
      </c>
      <c r="Q8" s="12" t="inlineStr">
        <is>
          <t>#mabradiante #relaciones #amorpropio #dependenciaemocional #mty</t>
        </is>
      </c>
      <c r="R8" s="12" t="inlineStr">
        <is>
          <t>Meta: superar tu mediana de TikTok (11,850 vistas). Viral para ti: más de 17,775 (1.5x). Instagram, Facebook y YouTube: s/d, los medimos en la rutina semanal.</t>
        </is>
      </c>
      <c r="S8" s="12" t="inlineStr">
        <is>
          <t>P1 + P5 + P7 · Creencia + lista + estudio</t>
        </is>
      </c>
      <c r="T8" s="12" t="inlineStr">
        <is>
          <t>Pieza 1 abre el tema del día con una creencia rota + lista de 3 señales (el combo que más rinde según tu competencia). Mediodía: tus TikToks de 10 a 13 h rinden 1.6x tu mediana (5 videos).</t>
        </is>
      </c>
      <c r="U8" s="12" t="inlineStr">
        <is>
          <t>Primera frase = gancho (G1, G2, G6 o G9), sin saludo: 2
Quita la culpa antes de enseñar: 1
Un dato de ciencia o un ejemplo real (hallazgo 2): 1
Algo para usar ya (hallazgo 1): 2
Pide guardar/compartir en los primeros 15 s: 1
Pide comentar una palabra: 1
Venta al final en 1 frase (o sin venta): 1
Vocabulario BNQ™, nada de la lista prohibida: 1
Total: 10/10
Lista de 3 (hallazgo 2): sí</t>
        </is>
      </c>
      <c r="V8" s="12" t="inlineStr">
        <is>
          <t>10/10</t>
        </is>
      </c>
      <c r="W8" s="12" t="inlineStr">
        <is>
          <t>Sin venta. Siembra el tema de Querido Ex sin venderlo todavía. Relaciones es el tema con más virales (H3).</t>
        </is>
      </c>
      <c r="X8" s="8" t="inlineStr"/>
      <c r="Y8" s="8" t="inlineStr"/>
      <c r="Z8" s="8" t="inlineStr"/>
      <c r="AA8" s="8" t="inlineStr"/>
      <c r="AB8" s="8" t="inlineStr"/>
      <c r="AC8" s="8" t="inlineStr"/>
      <c r="AD8" s="8" t="inlineStr"/>
    </row>
    <row r="9" ht="409" customHeight="1">
      <c r="A9" s="12" t="inlineStr">
        <is>
          <t>Miércoles</t>
        </is>
      </c>
      <c r="B9" s="12" t="inlineStr">
        <is>
          <t>2026-10-14</t>
        </is>
      </c>
      <c r="C9" s="12" t="inlineStr">
        <is>
          <t>18:30</t>
        </is>
      </c>
      <c r="D9" s="13" t="inlineStr">
        <is>
          <t>MIÉ-2</t>
        </is>
      </c>
      <c r="E9" s="14" t="inlineStr">
        <is>
          <t>CORTA EL CORDÓN CON ESTE DECRETO</t>
        </is>
      </c>
      <c r="F9" s="12" t="inlineStr">
        <is>
          <t>TikTok · Instagram Reels · Facebook Reels · YouTube Shorts</t>
        </is>
      </c>
      <c r="G9" s="12" t="inlineStr">
        <is>
          <t>Relaciones · no puedo dejar de pensarle</t>
        </is>
      </c>
      <c r="H9" s="12" t="inlineStr">
        <is>
          <t>G2 · Promesa práctica («Cuidado con este video…»)</t>
        </is>
      </c>
      <c r="I9" s="12" t="inlineStr">
        <is>
          <t>Alivio: «algo que puedo hacer ya»</t>
        </is>
      </c>
      <c r="J9" s="12" t="inlineStr">
        <is>
          <t>[0:00–0:07] GANCHO ✂️: "Cuidado con este video si no puedes dejar de pensar en alguien que ya se fue."
[0:07–0:14] GUARDAR Y COMPARTIR ✂️: "Guárdalo para la noche en que más lo necesites y compártelo con quien está soltando a alguien."
[0:14–0:24] DOLOR: "Ya terminó, pero sigues sintiéndolo. Piensas en él justo cuando él publica algo. Es como si hubiera un cable que nunca se desconectó."
[0:24–0:38] LISTA DE 3 ✂️: "El ritual tiene 3 pasos: 1. Cierra los ojos e imagínalo frente a ti. 2. Observa el cordón de luz que los une. 3. Córtalo con amor, sin rabia, con el decreto."
[0:38–0:55] DATO / AUTORIDAD: "En muchas tradiciones espirituales se habla de cordones energéticos: los lazos que quedan después de una relación. No es ciencia, es un ritual, y los rituales le dan al cuerpo un cierre que la mente sola no encuentra."
[0:55–1:41] HACKEO (hazlo conmigo) ✂️: "Hagámoslo ahora. Cierra los ojos. Imagínalo frente a ti. Mira el cordón que los une. Ahora, en tu mano aparece una espada de luz. Repite conmigo: te devuelvo lo que es tuyo, recupero lo que es mío. Te devuelvo lo que es tuyo, recupero lo que es mío. Te devuelvo lo que es tuyo, recupero lo que es mío. Espada de luz, espada de luz, espada de luz. Corta. Respira. Hecho está."
[1:41–1:45] REVELACIÓN: "Soltar no es olvidarlo. Es dejar de darle tu energía."
[1:45–1:47] COMENTA ✂️: "Cuando lo hagas, comenta LIBRE."
[1:47–1:49] CTA: "Guárdalo para cuando lo necesites."</t>
        </is>
      </c>
      <c r="K9" s="12" t="inlineStr">
        <is>
          <t>TikTok ≈ 1:49 min
Reels/Shorts ≈ 1:16 min</t>
        </is>
      </c>
      <c r="L9" s="12" t="inlineStr">
        <is>
          <t>Video vertical 9:16, cara a cámara. TikTok: versión completa. Reels y Shorts: corte con las partes ✂️. Pon el TÍTULO DEL REEL como texto grande en pantalla los primeros 3 s y como portada.</t>
        </is>
      </c>
      <c r="M9" s="12" t="inlineStr">
        <is>
          <t>LIBRE</t>
        </is>
      </c>
      <c r="N9" s="12" t="inlineStr">
        <is>
          <t>Sin venta (conexión)</t>
        </is>
      </c>
      <c r="O9" s="12" t="inlineStr">
        <is>
          <t>Corta el cordón con este decreto ✂️✨ Para cuando no puedes dejar de pensar en alguien que ya se fue. Guárdalo y comenta LIBRE 👇
#mabradiante #relaciones #amorpropio #dependenciaemocional #mty</t>
        </is>
      </c>
      <c r="P9" s="12" t="inlineStr">
        <is>
          <t>Corta el cordón con este decreto #mabradiante #relaciones #amorpropio #dependenciaemocional #mty #shorts</t>
        </is>
      </c>
      <c r="Q9" s="12" t="inlineStr">
        <is>
          <t>#mabradiante #relaciones #amorpropio #dependenciaemocional #mty</t>
        </is>
      </c>
      <c r="R9" s="12" t="inlineStr">
        <is>
          <t>Meta: superar tu mediana de TikTok (11,850 vistas). Viral para ti: más de 17,775 (1.5x). Instagram, Facebook y YouTube: s/d, los medimos en la rutina semanal.</t>
        </is>
      </c>
      <c r="S9" s="12" t="inlineStr">
        <is>
          <t>P2 · Herramienta para usar ya</t>
        </is>
      </c>
      <c r="T9" s="12" t="inlineStr">
        <is>
          <t>Pieza 2 es la herramienta para usar ya: el patrón #1 de tu competencia (26x) y el de tus 4 videos más vistos. Va en tu mejor horario: de 18 a 21 h tus TikToks rinden 6.3x tu mediana (7 videos).</t>
        </is>
      </c>
      <c r="U9" s="12"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9" s="12" t="inlineStr">
        <is>
          <t>9/10</t>
        </is>
      </c>
      <c r="W9" s="12" t="inlineStr">
        <is>
          <t>Herramienta para usar ya (H1). Es un adelanto del Día 3 de Querido Ex (siembra, sin venta).</t>
        </is>
      </c>
      <c r="X9" s="8" t="inlineStr"/>
      <c r="Y9" s="8" t="inlineStr"/>
      <c r="Z9" s="8" t="inlineStr"/>
      <c r="AA9" s="8" t="inlineStr"/>
      <c r="AB9" s="8" t="inlineStr"/>
      <c r="AC9" s="8" t="inlineStr"/>
      <c r="AD9" s="8" t="inlineStr"/>
    </row>
    <row r="10" ht="409" customHeight="1">
      <c r="A10" s="12" t="inlineStr">
        <is>
          <t>Miércoles</t>
        </is>
      </c>
      <c r="B10" s="12" t="inlineStr">
        <is>
          <t>2026-10-14</t>
        </is>
      </c>
      <c r="C10" s="12" t="inlineStr">
        <is>
          <t>20:30</t>
        </is>
      </c>
      <c r="D10" s="13" t="inlineStr">
        <is>
          <t>MIÉ-3</t>
        </is>
      </c>
      <c r="E10" s="14" t="inlineStr">
        <is>
          <t>BEYONCÉ TENÍA UN ALTER EGO: SASHA FIERCE</t>
        </is>
      </c>
      <c r="F10" s="12" t="inlineStr">
        <is>
          <t>TikTok · Instagram Reels · Facebook Reels · YouTube Shorts</t>
        </is>
      </c>
      <c r="G10" s="12" t="inlineStr">
        <is>
          <t>Relaciones · te conformas, ruegas</t>
        </is>
      </c>
      <c r="H10" s="12" t="inlineStr">
        <is>
          <t>G9 · Ejemplo famoso + estudio + lista</t>
        </is>
      </c>
      <c r="I10" s="12" t="inlineStr">
        <is>
          <t>Inspiración: «yo también puedo»</t>
        </is>
      </c>
      <c r="J10" s="12" t="inlineStr">
        <is>
          <t>[0:00–0:12] GANCHO ✂️: "Beyoncé contó que era tímida en el escenario hasta que creó a Sasha Fierce. Y eso tiene todo que ver con por qué te conformas en el amor."
[0:12–0:18] GUARDAR Y COMPARTIR ✂️: "Guárdalo y compártelo con la amiga que siempre explica de más lo que necesita."
[0:18–0:25] DOLOR: "Sabes lo que mereces, pero cuando estás frente a esa persona te haces chiquita. Ruegas, explicas, esperas."
[0:25–0:43] LISTA DE 3 ✂️: "Tu alter ego en el amor hace 3 cosas que tú todavía no: 1. No explica de más lo que necesita. 2. Se va cuando algo no le hace bien, sin pedir permiso. 3. Elige con calma, no con hambre de cariño."
[0:43–1:05] DATO / AUTORIDAD: "Hay un estudio de 2017 con niños, en la revista Child Development, que encontró algo curioso: los que se imaginaban como un personaje, por ejemplo Batman, perseveraban más en una tarea aburrida. Le llamaron el «efecto Batman». Tomar distancia de ti misma a través de un personaje te da fuerza."
[1:05–1:25] TU HISTORIA: "[TU HISTORIA REAL, 15–20 s: una vez que te hiciste chiquita frente a alguien y qué habría hecho tu versión fuerte]"
[1:25–2:03] HACKEO (hazlo conmigo) ✂️: "Ponle nombre a tu versión que ya no ruega. Hoy, antes de responder un mensaje, pregúntate: ¿qué haría ella? Y responde desde ahí. Repite conmigo: yo elijo desde mi valor, no desde mi miedo. Yo elijo desde mi valor, no desde mi miedo. Yo elijo desde mi valor, no desde mi miedo."
[2:03–2:10] REVELACIÓN: "No necesitas convertirte en otra persona. Necesitas permiso para ser la versión que ya existe en ti."
[2:10–2:16] COMENTA ✂️: "Si quieres crear la tuya, comenta ALTER EGO y te mando el link."
[2:16–2:23] CTA: "En Crea y Activa tu Alter Ego te guío paso a paso para instalar esa identidad."</t>
        </is>
      </c>
      <c r="K10" s="12" t="inlineStr">
        <is>
          <t>TikTok ≈ 2:23 min
Reels/Shorts ≈ 1:20 min</t>
        </is>
      </c>
      <c r="L10" s="12" t="inlineStr">
        <is>
          <t>Video vertical 9:16, cara a cámara. TikTok: versión completa. Reels y Shorts: corte con las partes ✂️. Pon el TÍTULO DEL REEL como texto grande en pantalla los primeros 3 s y como portada.</t>
        </is>
      </c>
      <c r="M10" s="12" t="inlineStr">
        <is>
          <t>ALTER EGO</t>
        </is>
      </c>
      <c r="N10" s="12" t="inlineStr">
        <is>
          <t>Crea y Activa tu Alter Ego · $599</t>
        </is>
      </c>
      <c r="O10" s="12" t="inlineStr">
        <is>
          <t>Beyoncé tenía un alter ego: Sasha Fierce 🔥 ¿Y tú? 3 cosas que haría tu versión fuerte en el amor. Comenta ALTER EGO y te mando el link 👇
#mabradiante #relaciones #amorpropio #dependenciaemocional #mty</t>
        </is>
      </c>
      <c r="P10" s="12" t="inlineStr">
        <is>
          <t>Beyoncé tenía un alter ego: Sasha Fierce #mabradiante #relaciones #amorpropio #dependenciaemocional #mty #shorts</t>
        </is>
      </c>
      <c r="Q10" s="12" t="inlineStr">
        <is>
          <t>#mabradiante #relaciones #amorpropio #dependenciaemocional #mty</t>
        </is>
      </c>
      <c r="R10" s="12" t="inlineStr">
        <is>
          <t>Meta: superar tu mediana de TikTok (11,850 vistas). Viral para ti: más de 17,775 (1.5x). Instagram, Facebook y YouTube: s/d, los medimos en la rutina semanal.</t>
        </is>
      </c>
      <c r="S10" s="12" t="inlineStr">
        <is>
          <t>P7 + P5 · Famoso + estudio + lista de 3</t>
        </is>
      </c>
      <c r="T10" s="12" t="inlineStr">
        <is>
          <t>Pieza 3 vende, apoyada en un famoso o estudio real (7.6x) + lista. Va al final del día, cuando ya calentaste el tema. Sigue en tu mejor franja.</t>
        </is>
      </c>
      <c r="U10" s="12"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0" s="12" t="inlineStr">
        <is>
          <t>9/10</t>
        </is>
      </c>
      <c r="W10" s="12" t="inlineStr">
        <is>
          <t>Pieza de venta del día (1 de 3). Querido Ex todavía no se vende: Alter Ego cubre Relaciones.</t>
        </is>
      </c>
      <c r="X10" s="8" t="inlineStr"/>
      <c r="Y10" s="8" t="inlineStr"/>
      <c r="Z10" s="8" t="inlineStr"/>
      <c r="AA10" s="8" t="inlineStr"/>
      <c r="AB10" s="8" t="inlineStr"/>
      <c r="AC10" s="8" t="inlineStr"/>
      <c r="AD10" s="8" t="inlineStr"/>
    </row>
    <row r="11" ht="409" customHeight="1">
      <c r="A11" s="15" t="inlineStr">
        <is>
          <t>Jueves</t>
        </is>
      </c>
      <c r="B11" s="15" t="inlineStr">
        <is>
          <t>2026-10-15</t>
        </is>
      </c>
      <c r="C11" s="15" t="inlineStr">
        <is>
          <t>12:30</t>
        </is>
      </c>
      <c r="D11" s="16" t="inlineStr">
        <is>
          <t>JUE-1</t>
        </is>
      </c>
      <c r="E11" s="17" t="inlineStr">
        <is>
          <t>3 SEÑALES DE QUE ESTÁS DESPERTANDO (Y POR QUÉ DUELE)</t>
        </is>
      </c>
      <c r="F11" s="15" t="inlineStr">
        <is>
          <t>TikTok · Instagram Reels · Facebook Reels · YouTube Shorts</t>
        </is>
      </c>
      <c r="G11" s="15" t="inlineStr">
        <is>
          <t>Vacío · nada me llena</t>
        </is>
      </c>
      <c r="H11" s="15" t="inlineStr">
        <is>
          <t>G1 + lista · Reencuadre + 3 señales</t>
        </is>
      </c>
      <c r="I11" s="15" t="inlineStr">
        <is>
          <t>Identificación: «eso me pasa a mí»</t>
        </is>
      </c>
      <c r="J11" s="15" t="inlineStr">
        <is>
          <t>[0:00–0:07] GANCHO ✂️: "No es que estés perdida. Puede que estés despertando, y hay 3 señales que lo delatan."
[0:07–0:14] GUARDAR Y COMPARTIR ✂️: "Guárdalo y compártelo con alguien que siente que ya no encaja en su propia vida."
[0:14–0:26] DOLOR: "Tienes lo que se supone que querías, y aun así sientes un vacío. Nadie a tu alrededor lo entiende, y empiezas a pensar que algo está mal contigo."
[0:26–0:38] LISTA DE 3 ✂️: "Estas son las 3 señales: 1. Lo que antes te llenaba ahora te aburre. 2. Ya no aguantas conversaciones vacías. 3. Sientes que «tiene que haber algo más»."
[0:38–0:57] DATO / AUTORIDAD: "Viktor Frankl, el psiquiatra que sobrevivió a los campos de concentración, llamó «vacío existencial» a esta sensación, y escribió que el ser humano puede soportar casi cualquier cosa si encuentra un para qué. Las tradiciones espirituales lo llaman la noche oscura del alma."
[0:57–1:17] TU HISTORIA: "[TU HISTORIA REAL, 15–20 s: el momento en que sentiste que tu vida ya no te quedaba]"
[1:17–1:55] HACKEO (hazlo conmigo) ✂️: "Escribe 3 momentos de tu vida en los que te sentiste viva de verdad. Luego busca qué tienen en común. Ahí está la primera pista de tu para qué. Repite conmigo: mi vacío es espacio para lo nuevo. Mi vacío es espacio para lo nuevo. Mi vacío es espacio para lo nuevo."
[1:55–2:02] REVELACIÓN: "El vacío no es el final. Es el espacio donde empieza lo que de verdad eres."
[2:02–2:04] COMENTA ✂️: "Si te pasa, comenta DESPERTANDO."
[2:04–2:07] CTA: "Sígueme para más hackeos de consciencia."</t>
        </is>
      </c>
      <c r="K11" s="15" t="inlineStr">
        <is>
          <t>TikTok ≈ 2:07 min
Reels/Shorts ≈ 1:06 min</t>
        </is>
      </c>
      <c r="L11" s="15" t="inlineStr">
        <is>
          <t>Video vertical 9:16, cara a cámara. TikTok: versión completa. Reels y Shorts: corte con las partes ✂️. Pon el TÍTULO DEL REEL como texto grande en pantalla los primeros 3 s y como portada.</t>
        </is>
      </c>
      <c r="M11" s="15" t="inlineStr">
        <is>
          <t>DESPERTANDO</t>
        </is>
      </c>
      <c r="N11" s="15" t="inlineStr">
        <is>
          <t>Sin venta (conexión)</t>
        </is>
      </c>
      <c r="O11" s="15" t="inlineStr">
        <is>
          <t>¿Y si no estás perdida, sino despertando? 🌀 3 señales (y lo que dijo Viktor Frankl sobre ese vacío). Comenta DESPERTANDO 👇
#mabradiante #despertardeconciencia #espiritualidad #salirdelamatrix #mty</t>
        </is>
      </c>
      <c r="P11" s="15" t="inlineStr">
        <is>
          <t>3 señales de que estás despertando #mabradiante #despertardeconciencia #espiritualidad #salirdelamatrix #mty #shorts</t>
        </is>
      </c>
      <c r="Q11" s="15" t="inlineStr">
        <is>
          <t>#mabradiante #despertardeconciencia #espiritualidad #salirdelamatrix #mty</t>
        </is>
      </c>
      <c r="R11" s="15" t="inlineStr">
        <is>
          <t>Meta: superar tu mediana de TikTok (11,850 vistas). Viral para ti: más de 17,775 (1.5x). Instagram, Facebook y YouTube: s/d, los medimos en la rutina semanal.</t>
        </is>
      </c>
      <c r="S11" s="15" t="inlineStr">
        <is>
          <t>P1 + P5 + P7 · Creencia + lista + autor</t>
        </is>
      </c>
      <c r="T11" s="15" t="inlineStr">
        <is>
          <t>Pieza 1 abre el tema del día con una creencia rota + lista de 3 señales (el combo que más rinde según tu competencia). Mediodía: tus TikToks de 10 a 13 h rinden 1.6x tu mediana (5 videos).</t>
        </is>
      </c>
      <c r="U11" s="15" t="inlineStr">
        <is>
          <t>Primera frase = gancho (G1, G2, G6 o G9), sin saludo: 2
Quita la culpa antes de enseñar: 1
Un dato de ciencia o un ejemplo real (hallazgo 2): 1
Algo para usar ya (hallazgo 1): 2
Pide guardar/compartir en los primeros 15 s: 1
Pide comentar una palabra: 1
Venta al final en 1 frase (o sin venta): 1
Vocabulario BNQ™, nada de la lista prohibida: 1
Total: 10/10
Lista de 3 (hallazgo 2): sí</t>
        </is>
      </c>
      <c r="V11" s="15" t="inlineStr">
        <is>
          <t>10/10</t>
        </is>
      </c>
      <c r="W11" s="15" t="inlineStr">
        <is>
          <t>Sin venta. Si la tristeza es constante o hay ideas de no vivir: Línea de la Vida 800 911 2000.</t>
        </is>
      </c>
      <c r="X11" s="8" t="inlineStr"/>
      <c r="Y11" s="8" t="inlineStr"/>
      <c r="Z11" s="8" t="inlineStr"/>
      <c r="AA11" s="8" t="inlineStr"/>
      <c r="AB11" s="8" t="inlineStr"/>
      <c r="AC11" s="8" t="inlineStr"/>
      <c r="AD11" s="8" t="inlineStr"/>
    </row>
    <row r="12" ht="409" customHeight="1">
      <c r="A12" s="15" t="inlineStr">
        <is>
          <t>Jueves</t>
        </is>
      </c>
      <c r="B12" s="15" t="inlineStr">
        <is>
          <t>2026-10-15</t>
        </is>
      </c>
      <c r="C12" s="15" t="inlineStr">
        <is>
          <t>18:30</t>
        </is>
      </c>
      <c r="D12" s="16" t="inlineStr">
        <is>
          <t>JUE-2</t>
        </is>
      </c>
      <c r="E12" s="17" t="inlineStr">
        <is>
          <t>RITUAL DE 3 MINUTOS PARA VOLVER A TI</t>
        </is>
      </c>
      <c r="F12" s="15" t="inlineStr">
        <is>
          <t>TikTok · Instagram Reels · Facebook Reels · YouTube Shorts</t>
        </is>
      </c>
      <c r="G12" s="15" t="inlineStr">
        <is>
          <t>Vacío · desconexión de mí</t>
        </is>
      </c>
      <c r="H12" s="15" t="inlineStr">
        <is>
          <t>G2 · Promesa práctica («Cuidado con este video…»)</t>
        </is>
      </c>
      <c r="I12" s="15" t="inlineStr">
        <is>
          <t>Alivio: «algo que puedo hacer ya»</t>
        </is>
      </c>
      <c r="J12" s="15" t="inlineStr">
        <is>
          <t>[0:00–0:07] GANCHO ✂️: "Cuidado con este video: este ritual de 3 minutos te devuelve a ti cuando te sientes vacía."
[0:07–0:13] GUARDAR Y COMPARTIR ✂️: "Guárdalo para mañana temprano y compártelo con alguien que anda en piloto automático."
[0:13–0:23] DOLOR: "Te levantas, agarras el celular, y el día se te va sin que te hayas preguntado ni una vez cómo estás tú."
[0:23–0:33] LISTA DE 3 ✂️: "Son 3 pasos: 1. Mano en el corazón y 3 respiraciones lentas. 2. Pregúntate: ¿qué necesito hoy? 3. Di el decreto 3 veces."
[0:33–0:48] DATO / AUTORIDAD: "La ciencia llama «interocepción» a tu capacidad de sentir lo que pasa dentro de tu cuerpo, y la investigación la relaciona con regular mejor tus emociones. Lo espiritual lo llama volver a tu centro."
[0:48–1:24] HACKEO (hazlo conmigo) ✂️: "Hagámoslo ahora. Mano en el corazón. Respira lento… una… dos… tres. Pregúntate en silencio: ¿qué necesito hoy? Escucha lo primero que llegue. Ahora repite conmigo: estoy aquí, estoy despierta, elijo mi camino. Estoy aquí, estoy despierta, elijo mi camino. Estoy aquí, estoy despierta, elijo mi camino. Hecho está."
[1:24–1:31] REVELACIÓN: "No necesitas irte a una montaña para encontrarte. Necesitas 3 minutos en los que no te abandones."
[1:31–1:33] COMENTA ✂️: "Cuando lo hagas, comenta PRESENTE."
[1:33–1:36] CTA: "Guárdalo y hazlo 7 mañanas seguidas."</t>
        </is>
      </c>
      <c r="K12" s="15" t="inlineStr">
        <is>
          <t>TikTok ≈ 1:36 min
Reels/Shorts ≈ 1:01 min</t>
        </is>
      </c>
      <c r="L12" s="15" t="inlineStr">
        <is>
          <t>Video vertical 9:16, cara a cámara. TikTok: versión completa. Reels y Shorts: corte con las partes ✂️. Pon el TÍTULO DEL REEL como texto grande en pantalla los primeros 3 s y como portada.</t>
        </is>
      </c>
      <c r="M12" s="15" t="inlineStr">
        <is>
          <t>PRESENTE</t>
        </is>
      </c>
      <c r="N12" s="15" t="inlineStr">
        <is>
          <t>Sin venta (conexión)</t>
        </is>
      </c>
      <c r="O12" s="15" t="inlineStr">
        <is>
          <t>Ritual de 3 minutos para volver a ti 🤍 Para los días en que te sientes vacía o en piloto automático. Guárdalo y comenta PRESENTE 👇
#mabradiante #despertardeconciencia #espiritualidad #salirdelamatrix #mty</t>
        </is>
      </c>
      <c r="P12" s="15" t="inlineStr">
        <is>
          <t>Ritual de 3 minutos para volver a ti #mabradiante #despertardeconciencia #espiritualidad #salirdelamatrix #mty #shorts</t>
        </is>
      </c>
      <c r="Q12" s="15" t="inlineStr">
        <is>
          <t>#mabradiante #despertardeconciencia #espiritualidad #salirdelamatrix #mty</t>
        </is>
      </c>
      <c r="R12" s="15" t="inlineStr">
        <is>
          <t>Meta: superar tu mediana de TikTok (11,850 vistas). Viral para ti: más de 17,775 (1.5x). Instagram, Facebook y YouTube: s/d, los medimos en la rutina semanal.</t>
        </is>
      </c>
      <c r="S12" s="15" t="inlineStr">
        <is>
          <t>P2 · Herramienta para usar ya</t>
        </is>
      </c>
      <c r="T12" s="15" t="inlineStr">
        <is>
          <t>Pieza 2 es la herramienta para usar ya: el patrón #1 de tu competencia (26x) y el de tus 4 videos más vistos. Va en tu mejor horario: de 18 a 21 h tus TikToks rinden 6.3x tu mediana (7 videos).</t>
        </is>
      </c>
      <c r="U12" s="15"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2" s="15" t="inlineStr">
        <is>
          <t>9/10</t>
        </is>
      </c>
      <c r="W12" s="15" t="inlineStr">
        <is>
          <t>Herramienta para usar ya (H1).</t>
        </is>
      </c>
      <c r="X12" s="8" t="inlineStr"/>
      <c r="Y12" s="8" t="inlineStr"/>
      <c r="Z12" s="8" t="inlineStr"/>
      <c r="AA12" s="8" t="inlineStr"/>
      <c r="AB12" s="8" t="inlineStr"/>
      <c r="AC12" s="8" t="inlineStr"/>
      <c r="AD12" s="8" t="inlineStr"/>
    </row>
    <row r="13" ht="409" customHeight="1">
      <c r="A13" s="15" t="inlineStr">
        <is>
          <t>Jueves</t>
        </is>
      </c>
      <c r="B13" s="15" t="inlineStr">
        <is>
          <t>2026-10-15</t>
        </is>
      </c>
      <c r="C13" s="15" t="inlineStr">
        <is>
          <t>20:30</t>
        </is>
      </c>
      <c r="D13" s="16" t="inlineStr">
        <is>
          <t>JUE-3</t>
        </is>
      </c>
      <c r="E13" s="17" t="inlineStr">
        <is>
          <t>LO QUE STEVE JOBS DIJO SOBRE UNIR LOS PUNTOS</t>
        </is>
      </c>
      <c r="F13" s="15" t="inlineStr">
        <is>
          <t>TikTok · Instagram Reels · Facebook Reels · YouTube Shorts</t>
        </is>
      </c>
      <c r="G13" s="15" t="inlineStr">
        <is>
          <t>Vacío · no le encuentro sentido</t>
        </is>
      </c>
      <c r="H13" s="15" t="inlineStr">
        <is>
          <t>G9 · Ejemplo famoso + lista</t>
        </is>
      </c>
      <c r="I13" s="15" t="inlineStr">
        <is>
          <t>Inspiración: «esto tiene sentido»</t>
        </is>
      </c>
      <c r="J13" s="15" t="inlineStr">
        <is>
          <t>[0:00–0:10] GANCHO ✂️: "En 2005, Steve Jobs dijo en la Universidad de Stanford una frase que explica por qué hoy no le encuentras sentido a tu vida."
[0:10–0:15] GUARDAR Y COMPARTIR ✂️: "Guárdalo y compártelo con alguien que está en plena crisis de sentido."
[0:15–0:26] DOLOR: "Miras tu vida y no entiendes para qué pasó lo que pasó: la ruptura, el trabajo que perdiste, la crisis que te obligó a parar."
[0:26–0:48] LISTA DE 3 ✂️: "Jobs dijo que los puntos no se unen mirando hacia adelante, solo hacia atrás. Y hay 3 puntos que quizá ya estás uniendo: 1. La crisis que te obligó a parar. 2. La pregunta que no te deja en paz. 3. Lo que de pronto te encuentra, como este video."
[0:48–1:03] DATO / AUTORIDAD: "Fue en su discurso de graduación de Stanford: «no puedes unir los puntos mirando hacia adelante; solo puedes unirlos mirando hacia atrás». Lo espiritual lo llama sincronicidad; la psicología, darle sentido a tu historia."
[1:03–1:23] TU HISTORIA: "[TU HISTORIA REAL, 15–20 s: un momento difícil que hoy entiendes que te llevó a donde estás]"
[1:23–1:59] HACKEO (hazlo conmigo) ✂️: "Dibuja una línea en una hoja. Pon 5 momentos clave de tu vida, buenos y difíciles. Únelos. Y pregúntate: ¿hacia dónde apuntan? Repite conmigo: nada de lo que viví fue en vano. Nada de lo que viví fue en vano. Nada de lo que viví fue en vano."
[1:59–2:04] REVELACIÓN: "Tu vida no está desordenada. Todavía no has visto el dibujo completo."
[2:04–2:10] COMENTA ✂️: "Si quieres un mapa para tu despertar, comenta DESPIERTA y te mando el link."
[2:10–2:17] CTA: "En DESPIERTA te acompaño en los primeros pasos de tu despertar con un mapa claro."</t>
        </is>
      </c>
      <c r="K13" s="15" t="inlineStr">
        <is>
          <t>TikTok ≈ 2:17 min
Reels/Shorts ≈ 1:19 min</t>
        </is>
      </c>
      <c r="L13" s="15" t="inlineStr">
        <is>
          <t>Video vertical 9:16, cara a cámara. TikTok: versión completa. Reels y Shorts: corte con las partes ✂️. Pon el TÍTULO DEL REEL como texto grande en pantalla los primeros 3 s y como portada.</t>
        </is>
      </c>
      <c r="M13" s="15" t="inlineStr">
        <is>
          <t>DESPIERTA</t>
        </is>
      </c>
      <c r="N13" s="15" t="inlineStr">
        <is>
          <t>DESPIERTA · $499</t>
        </is>
      </c>
      <c r="O13" s="15" t="inlineStr">
        <is>
          <t>Lo que Steve Jobs dijo sobre unir los puntos 🔗 y por qué hoy no le encuentras sentido a tu vida. Comenta DESPIERTA y te mando el link 👇
#mabradiante #despertardeconciencia #espiritualidad #salirdelamatrix #mty</t>
        </is>
      </c>
      <c r="P13" s="15" t="inlineStr">
        <is>
          <t>Lo que Steve Jobs dijo sobre unir los puntos #mabradiante #despertardeconciencia #espiritualidad #salirdelamatrix #mty #shorts</t>
        </is>
      </c>
      <c r="Q13" s="15" t="inlineStr">
        <is>
          <t>#mabradiante #despertardeconciencia #espiritualidad #salirdelamatrix #mty</t>
        </is>
      </c>
      <c r="R13" s="15" t="inlineStr">
        <is>
          <t>Meta: superar tu mediana de TikTok (11,850 vistas). Viral para ti: más de 17,775 (1.5x). Instagram, Facebook y YouTube: s/d, los medimos en la rutina semanal.</t>
        </is>
      </c>
      <c r="S13" s="15" t="inlineStr">
        <is>
          <t>P7 + P5 · Famoso + lista de 3</t>
        </is>
      </c>
      <c r="T13" s="15" t="inlineStr">
        <is>
          <t>Pieza 3 vende, apoyada en un famoso o estudio real (7.6x) + lista. Va al final del día, cuando ya calentaste el tema. Sigue en tu mejor franja.</t>
        </is>
      </c>
      <c r="U13" s="15"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3" s="15" t="inlineStr">
        <is>
          <t>9/10</t>
        </is>
      </c>
      <c r="W13" s="15" t="inlineStr">
        <is>
          <t>Pieza de venta del día (1 de 3).</t>
        </is>
      </c>
      <c r="X13" s="8" t="inlineStr"/>
      <c r="Y13" s="8" t="inlineStr"/>
      <c r="Z13" s="8" t="inlineStr"/>
      <c r="AA13" s="8" t="inlineStr"/>
      <c r="AB13" s="8" t="inlineStr"/>
      <c r="AC13" s="8" t="inlineStr"/>
      <c r="AD13" s="8" t="inlineStr"/>
    </row>
    <row r="14" ht="409" customHeight="1">
      <c r="A14" s="18" t="inlineStr">
        <is>
          <t>Viernes</t>
        </is>
      </c>
      <c r="B14" s="18" t="inlineStr">
        <is>
          <t>2026-10-16</t>
        </is>
      </c>
      <c r="C14" s="18" t="inlineStr">
        <is>
          <t>12:30</t>
        </is>
      </c>
      <c r="D14" s="19" t="inlineStr">
        <is>
          <t>VIE-1</t>
        </is>
      </c>
      <c r="E14" s="20" t="inlineStr">
        <is>
          <t>3 SEÑALES DE QUE TU CUERPO NO DESCANSA AUNQUE DUERMAS</t>
        </is>
      </c>
      <c r="F14" s="18" t="inlineStr">
        <is>
          <t>TikTok · Instagram Reels · Facebook Reels · YouTube Shorts</t>
        </is>
      </c>
      <c r="G14" s="18" t="inlineStr">
        <is>
          <t>Energía · cansada aunque duermo</t>
        </is>
      </c>
      <c r="H14" s="18" t="inlineStr">
        <is>
          <t>G1 + lista · Romper creencia + 3 señales</t>
        </is>
      </c>
      <c r="I14" s="18" t="inlineStr">
        <is>
          <t>Identificación: «eso me pasa a mí»</t>
        </is>
      </c>
      <c r="J14" s="18" t="inlineStr">
        <is>
          <t>[0:00–0:09] GANCHO ✂️: "No es flojera ni falta de voluntad. Hay 3 señales de que tu cuerpo sigue en alerta aunque duermas 8 horas."
[0:09–0:13] GUARDAR Y COMPARTIR ✂️: "Guárdalo y compártelo con alguien que vive cansada aunque duerma."
[0:13–0:22] DOLOR: "Te despiertas como si no hubieras dormido. El café ya no te hace nada. Y te sientes culpable por no rendir."
[0:22–0:35] LISTA DE 3 ✂️: "Estas son las 3 señales: 1. Te despiertas cansada. 2. Aprietas la mandíbula o los hombros sin darte cuenta. 3. Cuando por fin descansas, te duele algo o te enfermas."
[0:35–0:53] DATO / AUTORIDAD: "Hans Selye, el médico que popularizó la palabra «estrés», describió que cuando el estrés dura demasiado, el cuerpo pasa de la alarma a la resistencia… y luego al agotamiento. Desde lo energético, es un campo que gasta más de lo que recarga."
[0:53–1:13] TU HISTORIA: "[TU HISTORIA REAL, 15–20 s: cómo te diste cuenta de que tu cuerpo estaba en alerta]"
[1:13–1:48] HACKEO (hazlo conmigo) ✂️: "Haz este escaneo de 30 segundos: recorre tu cuerpo de la cabeza a los pies y pregúntate dónde estás apretando. Lleva tu exhalación a esa zona y suéltala. Hazlo 3 veces al día. Repite conmigo: mi cuerpo puede soltar. Mi cuerpo puede soltar. Mi cuerpo puede soltar."
[1:48–1:52] REVELACIÓN: "No estás cansada de vivir. Estás cansada de sobrevivir."
[1:52–1:54] COMENTA ✂️: "Comenta ALERTA si te identificaste."
[1:54–1:57] CTA: "Sígueme para más hackeos de energía."</t>
        </is>
      </c>
      <c r="K14" s="18" t="inlineStr">
        <is>
          <t>TikTok ≈ 1:57 min
Reels/Shorts ≈ 1:03 min</t>
        </is>
      </c>
      <c r="L14" s="18" t="inlineStr">
        <is>
          <t>Video vertical 9:16, cara a cámara. TikTok: versión completa. Reels y Shorts: corte con las partes ✂️. Pon el TÍTULO DEL REEL como texto grande en pantalla los primeros 3 s y como portada.</t>
        </is>
      </c>
      <c r="M14" s="18" t="inlineStr">
        <is>
          <t>ALERTA</t>
        </is>
      </c>
      <c r="N14" s="18" t="inlineStr">
        <is>
          <t>Sin venta (conexión)</t>
        </is>
      </c>
      <c r="O14" s="18" t="inlineStr">
        <is>
          <t>¿Duermes 8 horas y despiertas cansada? 😮‍💨 3 señales de que tu cuerpo sigue en alerta. Comenta ALERTA 👇
#mabradiante #energia #modosupervivencia #ritual #mty</t>
        </is>
      </c>
      <c r="P14" s="18" t="inlineStr">
        <is>
          <t>3 señales de que tu cuerpo no descansa aunque duermas #mabradiante #energia #modosupervivencia #ritual #mty #shorts</t>
        </is>
      </c>
      <c r="Q14" s="18" t="inlineStr">
        <is>
          <t>#mabradiante #energia #modosupervivencia #ritual #mty</t>
        </is>
      </c>
      <c r="R14" s="18" t="inlineStr">
        <is>
          <t>Meta: superar tu mediana de TikTok (11,850 vistas). Viral para ti: más de 17,775 (1.5x). Instagram, Facebook y YouTube: s/d, los medimos en la rutina semanal.</t>
        </is>
      </c>
      <c r="S14" s="18" t="inlineStr">
        <is>
          <t>P1 + P5 + P7 · Creencia + lista + autor</t>
        </is>
      </c>
      <c r="T14" s="18" t="inlineStr">
        <is>
          <t>Pieza 1 abre el tema del día con una creencia rota + lista de 3 señales (el combo que más rinde según tu competencia). Mediodía: tus TikToks de 10 a 13 h rinden 1.6x tu mediana (5 videos).</t>
        </is>
      </c>
      <c r="U14" s="18" t="inlineStr">
        <is>
          <t>Primera frase = gancho (G1, G2, G6 o G9), sin saludo: 2
Quita la culpa antes de enseñar: 1
Un dato de ciencia o un ejemplo real (hallazgo 2): 1
Algo para usar ya (hallazgo 1): 2
Pide guardar/compartir en los primeros 15 s: 1
Pide comentar una palabra: 1
Venta al final en 1 frase (o sin venta): 1
Vocabulario BNQ™, nada de la lista prohibida: 1
Total: 10/10
Lista de 3 (hallazgo 2): sí</t>
        </is>
      </c>
      <c r="V14" s="18" t="inlineStr">
        <is>
          <t>10/10</t>
        </is>
      </c>
      <c r="W14" s="18" t="inlineStr">
        <is>
          <t>Sin venta. Sin promesas de salud: si el cansancio es fuerte o constante, recomendar ir al médico.</t>
        </is>
      </c>
      <c r="X14" s="8" t="inlineStr"/>
      <c r="Y14" s="8" t="inlineStr"/>
      <c r="Z14" s="8" t="inlineStr"/>
      <c r="AA14" s="8" t="inlineStr"/>
      <c r="AB14" s="8" t="inlineStr"/>
      <c r="AC14" s="8" t="inlineStr"/>
      <c r="AD14" s="8" t="inlineStr"/>
    </row>
    <row r="15" ht="409" customHeight="1">
      <c r="A15" s="18" t="inlineStr">
        <is>
          <t>Viernes</t>
        </is>
      </c>
      <c r="B15" s="18" t="inlineStr">
        <is>
          <t>2026-10-16</t>
        </is>
      </c>
      <c r="C15" s="18" t="inlineStr">
        <is>
          <t>18:30</t>
        </is>
      </c>
      <c r="D15" s="19" t="inlineStr">
        <is>
          <t>VIE-2</t>
        </is>
      </c>
      <c r="E15" s="20" t="inlineStr">
        <is>
          <t>DECRETO PARA APAGAR LA ALERTA ANTES DE DORMIR</t>
        </is>
      </c>
      <c r="F15" s="18" t="inlineStr">
        <is>
          <t>TikTok · Instagram Reels · Facebook Reels · YouTube Shorts</t>
        </is>
      </c>
      <c r="G15" s="18" t="inlineStr">
        <is>
          <t>Energía · no puedo apagar el día</t>
        </is>
      </c>
      <c r="H15" s="18" t="inlineStr">
        <is>
          <t>G2 · Promesa práctica («Cuidado con este video…»)</t>
        </is>
      </c>
      <c r="I15" s="18" t="inlineStr">
        <is>
          <t>Alivio: «algo que puedo hacer ya»</t>
        </is>
      </c>
      <c r="J15" s="18" t="inlineStr">
        <is>
          <t>[0:00–0:06] GANCHO ✂️: "Cuidado con este video: vamos a decirle a tu cuerpo que ya puede soltar."
[0:06–0:11] GUARDAR Y COMPARTIR ✂️: "Guárdalo para esta noche y compártelo con alguien que no logra desconectarse."
[0:11–0:19] DOLOR: "Ya te acostaste, pero tu cuerpo sigue en el día: los hombros arriba, el estómago apretado, la mente repasando."
[0:19–0:29] LISTA DE 3 ✂️: "Son 3 pasos, acostada: 1. Mano en el vientre. 2. Inhala en 4 y exhala en 8. 3. Di el decreto 3 veces."
[0:29–0:44] DATO / AUTORIDAD: "Cuando exhalas más largo de lo que inhalas, ayudas a activar la parte de tu sistema nervioso que baja revoluciones, la que se asocia con el nervio vago. Lo espiritual lo llama soltar el día."
[0:44–1:21] HACKEO (hazlo conmigo) ✂️: "Acuéstate. Mano en el vientre. Inhala en 4… exhala en 8. Otra vez. Una más. Ahora repite conmigo: gracias, cuerpo, por cuidarme; ya estamos a salvo; puedes descansar. Gracias, cuerpo, por cuidarme; ya estamos a salvo; puedes descansar. Gracias, cuerpo, por cuidarme; ya estamos a salvo; puedes descansar. Hecho está."
[1:21–1:28] REVELACIÓN: "Tu cuerpo no necesita que lo obligues a descansar. Necesita que le avises que ya puede."
[1:28–1:30] COMENTA ✂️: "Cuando lo hagas, comenta DESCANSO."
[1:30–1:32] CTA: "Guárdalo y hazlo 7 noches."</t>
        </is>
      </c>
      <c r="K15" s="18" t="inlineStr">
        <is>
          <t>TikTok ≈ 1:32 min
Reels/Shorts ≈ 1:00 min</t>
        </is>
      </c>
      <c r="L15" s="18" t="inlineStr">
        <is>
          <t>Video vertical 9:16, cara a cámara. TikTok: versión completa. Reels y Shorts: corte con las partes ✂️. Pon el TÍTULO DEL REEL como texto grande en pantalla los primeros 3 s y como portada.</t>
        </is>
      </c>
      <c r="M15" s="18" t="inlineStr">
        <is>
          <t>DESCANSO</t>
        </is>
      </c>
      <c r="N15" s="18" t="inlineStr">
        <is>
          <t>Sin venta (conexión)</t>
        </is>
      </c>
      <c r="O15" s="18" t="inlineStr">
        <is>
          <t>Decreto para apagar la alerta antes de dormir 🌙 Exhala largo y dile a tu cuerpo que ya puede soltar. Guárdalo y comenta DESCANSO 👇
#mabradiante #energia #modosupervivencia #ritual #mty</t>
        </is>
      </c>
      <c r="P15" s="18" t="inlineStr">
        <is>
          <t>Decreto para apagar la alerta antes de dormir #mabradiante #energia #modosupervivencia #ritual #mty #shorts</t>
        </is>
      </c>
      <c r="Q15" s="18" t="inlineStr">
        <is>
          <t>#mabradiante #energia #modosupervivencia #ritual #mty</t>
        </is>
      </c>
      <c r="R15" s="18" t="inlineStr">
        <is>
          <t>Meta: superar tu mediana de TikTok (11,850 vistas). Viral para ti: más de 17,775 (1.5x). Instagram, Facebook y YouTube: s/d, los medimos en la rutina semanal.</t>
        </is>
      </c>
      <c r="S15" s="18" t="inlineStr">
        <is>
          <t>P2 · Herramienta para usar ya</t>
        </is>
      </c>
      <c r="T15" s="18" t="inlineStr">
        <is>
          <t>Pieza 2 es la herramienta para usar ya: el patrón #1 de tu competencia (26x) y el de tus 4 videos más vistos. Va en tu mejor horario: de 18 a 21 h tus TikToks rinden 6.3x tu mediana (7 videos).</t>
        </is>
      </c>
      <c r="U15" s="18"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5" s="18" t="inlineStr">
        <is>
          <t>9/10</t>
        </is>
      </c>
      <c r="W15" s="18" t="inlineStr">
        <is>
          <t>Herramienta para usar ya (H1). Sin promesas de salud.</t>
        </is>
      </c>
      <c r="X15" s="8" t="inlineStr"/>
      <c r="Y15" s="8" t="inlineStr"/>
      <c r="Z15" s="8" t="inlineStr"/>
      <c r="AA15" s="8" t="inlineStr"/>
      <c r="AB15" s="8" t="inlineStr"/>
      <c r="AC15" s="8" t="inlineStr"/>
      <c r="AD15" s="8" t="inlineStr"/>
    </row>
    <row r="16" ht="409" customHeight="1">
      <c r="A16" s="18" t="inlineStr">
        <is>
          <t>Viernes</t>
        </is>
      </c>
      <c r="B16" s="18" t="inlineStr">
        <is>
          <t>2026-10-16</t>
        </is>
      </c>
      <c r="C16" s="18" t="inlineStr">
        <is>
          <t>20:30</t>
        </is>
      </c>
      <c r="D16" s="19" t="inlineStr">
        <is>
          <t>VIE-3</t>
        </is>
      </c>
      <c r="E16" s="20" t="inlineStr">
        <is>
          <t>LA OMS YA LE PUSO NOMBRE A TU AGOTAMIENTO</t>
        </is>
      </c>
      <c r="F16" s="18" t="inlineStr">
        <is>
          <t>TikTok · Instagram Reels · Facebook Reels · YouTube Shorts</t>
        </is>
      </c>
      <c r="G16" s="18" t="inlineStr">
        <is>
          <t>Energía · agotamiento, modo supervivencia</t>
        </is>
      </c>
      <c r="H16" s="18" t="inlineStr">
        <is>
          <t>G6 · Autoridad (OMS) + lista</t>
        </is>
      </c>
      <c r="I16" s="18" t="inlineStr">
        <is>
          <t>Validación: «no estoy exagerando»</t>
        </is>
      </c>
      <c r="J16" s="18" t="inlineStr">
        <is>
          <t>[0:00–0:08] GANCHO ✂️: "La Organización Mundial de la Salud ya le puso nombre a ese agotamiento que sientes, y tiene 3 señales."
[0:08–0:14] GUARDAR Y COMPARTIR ✂️: "Guárdalo y compártelo con alguien que siempre dice «estoy bien» y no lo está."
[0:14–0:24] DOLOR: "Haces todo, cumples con todos, y aun así sientes que no te queda nada. Y lo peor: te sientes culpable por estar cansada."
[0:24–0:42] LISTA DE 3 ✂️: "En 2019, la OMS incluyó el agotamiento laboral en su clasificación como un fenómeno ligado al trabajo, con 3 señales: 1. Te sientes sin energía o agotada. 2. Te distancias o te vuelves negativa con tu trabajo. 3. Sientes que rindes menos."
[0:42–0:59] DATO / AUTORIDAD: "Lo describe la Clasificación Internacional de Enfermedades (CIE-11) de la OMS. No es un diagnóstico que hago yo: si te identificas mucho, busca a un profesional. Desde lo energético, es un campo drenado que sigue dando sin recargar."
[0:59–1:19] TU HISTORIA: "[TU HISTORIA REAL, 15–20 s: tu momento de agotamiento y qué te hizo parar]"
[1:19–1:51] HACKEO (hazlo conmigo) ✂️: "Elige hoy una sola cosa que vas a dejar de hacer esta semana. Solo una. Escríbela y avísale a alguien. Repite conmigo: dejar de hacer también es avanzar. Dejar de hacer también es avanzar. Dejar de hacer también es avanzar."
[1:51–1:54] REVELACIÓN: "No necesitas más energía. Necesitas dejar de fugarla."
[1:54–2:00] COMENTA ✂️: "Si quieres salir de la alerta, comenta APAGAR y te mando el link."
[2:00–2:07] CTA: "En Apaga el Modo Supervivencia te doy el protocolo para salir de la alerta paso a paso."</t>
        </is>
      </c>
      <c r="K16" s="18" t="inlineStr">
        <is>
          <t>TikTok ≈ 2:07 min
Reels/Shorts ≈ 1:10 min</t>
        </is>
      </c>
      <c r="L16" s="18" t="inlineStr">
        <is>
          <t>Video vertical 9:16, cara a cámara. TikTok: versión completa. Reels y Shorts: corte con las partes ✂️. Pon el TÍTULO DEL REEL como texto grande en pantalla los primeros 3 s y como portada.</t>
        </is>
      </c>
      <c r="M16" s="18" t="inlineStr">
        <is>
          <t>APAGAR</t>
        </is>
      </c>
      <c r="N16" s="18" t="inlineStr">
        <is>
          <t>Apaga el Modo Supervivencia · $750</t>
        </is>
      </c>
      <c r="O16" s="18" t="inlineStr">
        <is>
          <t>La OMS ya le puso nombre a tu agotamiento 🔋 Estas son las 3 señales. Comenta APAGAR y te mando el link 👇
#mabradiante #energia #modosupervivencia #ritual #mty</t>
        </is>
      </c>
      <c r="P16" s="18" t="inlineStr">
        <is>
          <t>La OMS ya le puso nombre a tu agotamiento #mabradiante #energia #modosupervivencia #ritual #mty #shorts</t>
        </is>
      </c>
      <c r="Q16" s="18" t="inlineStr">
        <is>
          <t>#mabradiante #energia #modosupervivencia #ritual #mty</t>
        </is>
      </c>
      <c r="R16" s="18" t="inlineStr">
        <is>
          <t>Meta: superar tu mediana de TikTok (11,850 vistas). Viral para ti: más de 17,775 (1.5x). Instagram, Facebook y YouTube: s/d, los medimos en la rutina semanal.</t>
        </is>
      </c>
      <c r="S16" s="18" t="inlineStr">
        <is>
          <t>P7 + P5 · Autoridad + lista de 3</t>
        </is>
      </c>
      <c r="T16" s="18" t="inlineStr">
        <is>
          <t>Pieza 3 vende, apoyada en un famoso o estudio real (7.6x) + lista. Va al final del día, cuando ya calentaste el tema. Sigue en tu mejor franja.</t>
        </is>
      </c>
      <c r="U16" s="18"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6" s="18" t="inlineStr">
        <is>
          <t>9/10</t>
        </is>
      </c>
      <c r="W16" s="18" t="inlineStr">
        <is>
          <t>Pieza de venta del día (1 de 3). Sin promesas de curación; recomendar profesional si es intenso.</t>
        </is>
      </c>
      <c r="X16" s="8" t="inlineStr"/>
      <c r="Y16" s="8" t="inlineStr"/>
      <c r="Z16" s="8" t="inlineStr"/>
      <c r="AA16" s="8" t="inlineStr"/>
      <c r="AB16" s="8" t="inlineStr"/>
      <c r="AC16" s="8" t="inlineStr"/>
      <c r="AD16" s="8" t="inlineStr"/>
    </row>
    <row r="17" ht="409" customHeight="1">
      <c r="A17" s="21" t="inlineStr">
        <is>
          <t>Sábado</t>
        </is>
      </c>
      <c r="B17" s="21" t="inlineStr">
        <is>
          <t>2026-10-17</t>
        </is>
      </c>
      <c r="C17" s="21" t="inlineStr">
        <is>
          <t>12:30</t>
        </is>
      </c>
      <c r="D17" s="22" t="inlineStr">
        <is>
          <t>SÁB-1</t>
        </is>
      </c>
      <c r="E17" s="23" t="inlineStr">
        <is>
          <t>3 RAZONES POR LAS QUE ABANDONAS TUS METAS</t>
        </is>
      </c>
      <c r="F17" s="21" t="inlineStr">
        <is>
          <t>TikTok · Instagram Reels · Facebook Reels · YouTube Shorts</t>
        </is>
      </c>
      <c r="G17" s="21" t="inlineStr">
        <is>
          <t>Metas · las abandono</t>
        </is>
      </c>
      <c r="H17" s="21" t="inlineStr">
        <is>
          <t>G1 + lista · Romper creencia + 3 razones</t>
        </is>
      </c>
      <c r="I17" s="21" t="inlineStr">
        <is>
          <t>Alivio: «no soy floja»</t>
        </is>
      </c>
      <c r="J17" s="21" t="inlineStr">
        <is>
          <t>[0:00–0:09] GANCHO ✂️: "No es falta de disciplina. Hay 3 razones por las que abandonas tus metas, y ninguna es que seas floja."
[0:09–0:14] GUARDAR Y COMPARTIR ✂️: "Guárdalo y compártelo con alguien que lleva años diciendo «este año sí»."
[0:14–0:24] DOLOR: "Empiezas con todo, y a las dos semanas ya lo dejaste. Y la voz de siempre te dice: «¿ves? nunca terminas nada»."
[0:24–0:43] LISTA DE 3 ✂️: "Estas son las 3 razones: 1. La meta es de tu cabeza, no de tu cuerpo: no la sientes tuya. 2. Te mides con la versión perfecta y no con la de ayer. 3. No decidiste qué vas a hacer el día que falles."
[0:43–1:00] DATO / AUTORIDAD: "El psicólogo Peter Gollwitzer estudió las «intenciones de implementación»: planear «si pasa esto, entonces hago aquello». En muchos estudios, la gente que lo hace cumple más sus metas. Lo espiritual lo llama coherencia: lo que piensas, sientes y haces, juntos."
[1:00–1:20] TU HISTORIA: "[TU HISTORIA REAL, 15–20 s: una meta que abandonaste y qué te faltó]"
[1:20–1:57] HACKEO (hazlo conmigo) ✂️: "Escribe tu meta. Abajo escribe: «si un día no lo hago, entonces mañana…» y completa la frase. Esa línea es tu red de seguridad. Repite conmigo: fallar un día no me saca del camino. Fallar un día no me saca del camino. Fallar un día no me saca del camino."
[1:57–2:03] REVELACIÓN: "No te falta disciplina. Te falta un plan para el día que fallas."
[2:03–2:08] COMENTA ✂️: "Escribe tu meta en comentarios con la palabra META y te leo."
[2:08–2:12] CTA: "Sígueme: mañana te dejo un decreto para empezar la semana."</t>
        </is>
      </c>
      <c r="K17" s="21" t="inlineStr">
        <is>
          <t>TikTok ≈ 2:12 min
Reels/Shorts ≈ 1:15 min</t>
        </is>
      </c>
      <c r="L17" s="21" t="inlineStr">
        <is>
          <t>Video vertical 9:16, cara a cámara. TikTok: versión completa. Reels y Shorts: corte con las partes ✂️. Pon el TÍTULO DEL REEL como texto grande en pantalla los primeros 3 s y como portada.</t>
        </is>
      </c>
      <c r="M17" s="21" t="inlineStr">
        <is>
          <t>META</t>
        </is>
      </c>
      <c r="N17" s="21" t="inlineStr">
        <is>
          <t>Sin venta (conexión)</t>
        </is>
      </c>
      <c r="O17" s="21" t="inlineStr">
        <is>
          <t>No es falta de disciplina 🎯 3 razones por las que abandonas tus metas (y la frase que lo cambia). Escribe tu meta + META 👇
#mabradiante #metas #leydeatraccion #decreto #mty</t>
        </is>
      </c>
      <c r="P17" s="21" t="inlineStr">
        <is>
          <t>3 razones por las que abandonas tus metas #mabradiante #metas #leydeatraccion #decreto #mty #shorts</t>
        </is>
      </c>
      <c r="Q17" s="21" t="inlineStr">
        <is>
          <t>#mabradiante #metas #leydeatraccion #decreto #mty</t>
        </is>
      </c>
      <c r="R17" s="21" t="inlineStr">
        <is>
          <t>Meta: superar tu mediana de TikTok (11,850 vistas). Viral para ti: más de 17,775 (1.5x). Instagram, Facebook y YouTube: s/d, los medimos en la rutina semanal.</t>
        </is>
      </c>
      <c r="S17" s="21" t="inlineStr">
        <is>
          <t>P1 + P5 + P7 · Creencia + lista + estudio</t>
        </is>
      </c>
      <c r="T17" s="21" t="inlineStr">
        <is>
          <t>Pieza 1 abre el tema del día con una creencia rota + lista de 3 señales (el combo que más rinde según tu competencia). Mediodía: tus TikToks de 10 a 13 h rinden 1.6x tu mediana (5 videos).</t>
        </is>
      </c>
      <c r="U17" s="21" t="inlineStr">
        <is>
          <t>Primera frase = gancho (G1, G2, G6 o G9), sin saludo: 2
Quita la culpa antes de enseñar: 1
Un dato de ciencia o un ejemplo real (hallazgo 2): 1
Algo para usar ya (hallazgo 1): 2
Pide guardar/compartir en los primeros 15 s: 1
Pide comentar una palabra: 1
Venta al final en 1 frase (o sin venta): 1
Vocabulario BNQ™, nada de la lista prohibida: 1
Total: 10/10
Lista de 3 (hallazgo 2): sí</t>
        </is>
      </c>
      <c r="V17" s="21" t="inlineStr">
        <is>
          <t>10/10</t>
        </is>
      </c>
      <c r="W17" s="21" t="inlineStr">
        <is>
          <t>Pieza de comunidad: las respuestas te dan ideas de guiones. Sin venta.</t>
        </is>
      </c>
      <c r="X17" s="8" t="inlineStr"/>
      <c r="Y17" s="8" t="inlineStr"/>
      <c r="Z17" s="8" t="inlineStr"/>
      <c r="AA17" s="8" t="inlineStr"/>
      <c r="AB17" s="8" t="inlineStr"/>
      <c r="AC17" s="8" t="inlineStr"/>
      <c r="AD17" s="8" t="inlineStr"/>
    </row>
    <row r="18" ht="409" customHeight="1">
      <c r="A18" s="21" t="inlineStr">
        <is>
          <t>Sábado</t>
        </is>
      </c>
      <c r="B18" s="21" t="inlineStr">
        <is>
          <t>2026-10-17</t>
        </is>
      </c>
      <c r="C18" s="21" t="inlineStr">
        <is>
          <t>18:30</t>
        </is>
      </c>
      <c r="D18" s="22" t="inlineStr">
        <is>
          <t>SÁB-2</t>
        </is>
      </c>
      <c r="E18" s="23" t="inlineStr">
        <is>
          <t>DECRETA TU META CONMIGO EN VOZ ALTA</t>
        </is>
      </c>
      <c r="F18" s="21" t="inlineStr">
        <is>
          <t>TikTok · Instagram Reels · Facebook Reels · YouTube Shorts</t>
        </is>
      </c>
      <c r="G18" s="21" t="inlineStr">
        <is>
          <t>Metas · no confío en mí</t>
        </is>
      </c>
      <c r="H18" s="21" t="inlineStr">
        <is>
          <t>G2 · Promesa práctica (decreto juntas)</t>
        </is>
      </c>
      <c r="I18" s="21" t="inlineStr">
        <is>
          <t>Alivio + pertenencia</t>
        </is>
      </c>
      <c r="J18" s="21" t="inlineStr">
        <is>
          <t>[0:00–0:06] GANCHO ✂️: "Detén lo que estás haciendo: vamos a decretar tu meta juntas, en voz alta."
[0:06–0:11] GUARDAR Y COMPARTIR ✂️: "Guárdalo y compártelo con alguien que necesita creer en sí misma hoy."
[0:11–0:21] DOLOR: "Tienes la meta clara en la cabeza, pero cuando la dices en voz alta te da pena, como si no te la creyeras."
[0:21–0:34] LISTA DE 3 ✂️: "Son 3 pasos: 1. Di tu meta en presente, como si ya fuera. 2. Siente en el cuerpo la emoción de tenerla. 3. Sella con el decreto 3 veces."
[0:34–0:51] DATO / AUTORIDAD: "Investigadores de la Universidad de Waterloo encontraron que recordamos mejor lo que decimos en voz alta que lo que solo leemos en silencio. Le llaman «efecto de producción». Por eso el decreto se dice, no solo se piensa."
[0:51–1:26] HACKEO (hazlo conmigo) ✂️: "Ahora. Di tu meta en voz alta, en presente: «yo ya…». Siente la emoción en el pecho. Y repite conmigo: lo que decido, lo sostengo. Lo que decido, lo sostengo. Lo que decido, lo sostengo. Llave de luz, llave de luz, llave de luz. Hecho está."
[1:26–1:34] REVELACIÓN: "Una meta que no te atreves a decir en voz alta todavía no es tuya. Hoy la hiciste tuya."
[1:34–1:37] COMENTA ✂️: "Cuando lo hagas, comenta HECHO ESTÁ."
[1:37–1:39] CTA: "Guárdalo y repítelo cada mañana."</t>
        </is>
      </c>
      <c r="K18" s="21" t="inlineStr">
        <is>
          <t>TikTok ≈ 1:39 min
Reels/Shorts ≈ 1:02 min</t>
        </is>
      </c>
      <c r="L18" s="21" t="inlineStr">
        <is>
          <t>Video vertical 9:16, cara a cámara. TikTok: versión completa. Reels y Shorts: corte con las partes ✂️. Pon el TÍTULO DEL REEL como texto grande en pantalla los primeros 3 s y como portada.</t>
        </is>
      </c>
      <c r="M18" s="21" t="inlineStr">
        <is>
          <t>HECHO ESTÁ</t>
        </is>
      </c>
      <c r="N18" s="21" t="inlineStr">
        <is>
          <t>Sin venta (conexión)</t>
        </is>
      </c>
      <c r="O18" s="21" t="inlineStr">
        <is>
          <t>Decreta tu meta conmigo en voz alta 🗣️✨ Lo que se dice se recuerda mejor (lo estudió la Universidad de Waterloo). Comenta HECHO ESTÁ 👇
#mabradiante #metas #leydeatraccion #decreto #mty</t>
        </is>
      </c>
      <c r="P18" s="21" t="inlineStr">
        <is>
          <t>Decreta tu meta conmigo en voz alta #mabradiante #metas #leydeatraccion #decreto #mty #shorts</t>
        </is>
      </c>
      <c r="Q18" s="21" t="inlineStr">
        <is>
          <t>#mabradiante #metas #leydeatraccion #decreto #mty</t>
        </is>
      </c>
      <c r="R18" s="21" t="inlineStr">
        <is>
          <t>Meta: superar tu mediana de TikTok (11,850 vistas). Viral para ti: más de 17,775 (1.5x). Instagram, Facebook y YouTube: s/d, los medimos en la rutina semanal.</t>
        </is>
      </c>
      <c r="S18" s="21" t="inlineStr">
        <is>
          <t>P2 + P7 · Herramienta + estudio</t>
        </is>
      </c>
      <c r="T18" s="21" t="inlineStr">
        <is>
          <t>Pieza 2 es la herramienta para usar ya: el patrón #1 de tu competencia (26x) y el de tus 4 videos más vistos. Va en tu mejor horario: de 18 a 21 h tus TikToks rinden 6.3x tu mediana (7 videos).</t>
        </is>
      </c>
      <c r="U18" s="21"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8" s="21" t="inlineStr">
        <is>
          <t>9/10</t>
        </is>
      </c>
      <c r="W18" s="21" t="inlineStr">
        <is>
          <t>Herramienta para usar ya (H1) + estudio real (H2).</t>
        </is>
      </c>
      <c r="X18" s="8" t="inlineStr"/>
      <c r="Y18" s="8" t="inlineStr"/>
      <c r="Z18" s="8" t="inlineStr"/>
      <c r="AA18" s="8" t="inlineStr"/>
      <c r="AB18" s="8" t="inlineStr"/>
      <c r="AC18" s="8" t="inlineStr"/>
      <c r="AD18" s="8" t="inlineStr"/>
    </row>
    <row r="19" ht="409" customHeight="1">
      <c r="A19" s="21" t="inlineStr">
        <is>
          <t>Sábado</t>
        </is>
      </c>
      <c r="B19" s="21" t="inlineStr">
        <is>
          <t>2026-10-17</t>
        </is>
      </c>
      <c r="C19" s="21" t="inlineStr">
        <is>
          <t>20:30</t>
        </is>
      </c>
      <c r="D19" s="22" t="inlineStr">
        <is>
          <t>SÁB-3</t>
        </is>
      </c>
      <c r="E19" s="23" t="inlineStr">
        <is>
          <t>LA PREGUNTA QUE EL PAPÁ DE SARA BLAKELY LE HACÍA</t>
        </is>
      </c>
      <c r="F19" s="21" t="inlineStr">
        <is>
          <t>TikTok · Instagram Reels · Facebook Reels · YouTube Shorts</t>
        </is>
      </c>
      <c r="G19" s="21" t="inlineStr">
        <is>
          <t>Metas · miedo a fallar</t>
        </is>
      </c>
      <c r="H19" s="21" t="inlineStr">
        <is>
          <t>G9 · Ejemplo famoso + lista</t>
        </is>
      </c>
      <c r="I19" s="21" t="inlineStr">
        <is>
          <t>Inspiración: «puedo fallar y seguir»</t>
        </is>
      </c>
      <c r="J19" s="21" t="inlineStr">
        <is>
          <t>[0:00–0:09] GANCHO ✂️: "Cada semana, el papá de Sara Blakely, la fundadora de Spanx, le preguntaba en la cena: ¿en qué fallaste esta semana?"
[0:09–0:15] GUARDAR Y COMPARTIR ✂️: "Guárdalo y compártelo con alguien a quien el miedo a fallar la tiene paralizada."
[0:15–0:25] DOLOR: "No empiezas porque no te sientes lista. Y si empiezas y algo sale mal, lo tomas como prueba de que no puedes."
[0:25–0:42] LISTA DE 3 ✂️: "Blakely cuenta que eso le quitó el miedo a fallar. Estas son 3 creencias que ella no tenía, y tú quizá sí: 1. Fallar es vergonzoso. 2. Hay que estar lista para empezar. 3. Si no sale perfecto, no vale."
[0:42–1:00] DATO / AUTORIDAD: "Sara Blakely lo ha contado en muchas entrevistas: si no tenía un fallo que contar, su papá se decepcionaba. Fallar significaba que lo había intentado. Hoy es una de las empresarias más reconocidas del mundo. Tu subconsciente también aprendió qué significa fallar."
[1:00–1:20] TU HISTORIA: "[TU HISTORIA REAL, 15–20 s: qué significaba fallar en tu casa cuando eras niña]"
[1:20–1:53] HACKEO (hazlo conmigo) ✂️: "Hoy responde tú la pregunta: ¿en qué fallé esta semana y qué aprendí? Escríbelo sin juzgarte. Repite conmigo: fallar es la prueba de que lo intenté. Fallar es la prueba de que lo intenté. Fallar es la prueba de que lo intenté."
[1:53–2:00] REVELACIÓN: "La creencia más peligrosa es la que no sabes que tienes. Y casi siempre es sobre fallar."
[2:00–2:07] COMENTA ✂️: "Si quieres hackear tus creencias de raíz, comenta NIVEL 1 y te mando el link."
[2:07–2:14] CTA: "En el Nivel 1 de Las Fórmulas Cuánticas hackeamos las creencias que no sabes que tienes."</t>
        </is>
      </c>
      <c r="K19" s="21" t="inlineStr">
        <is>
          <t>TikTok ≈ 2:14 min
Reels/Shorts ≈ 1:12 min</t>
        </is>
      </c>
      <c r="L19" s="21" t="inlineStr">
        <is>
          <t>Video vertical 9:16, cara a cámara. TikTok: versión completa. Reels y Shorts: corte con las partes ✂️. Pon el TÍTULO DEL REEL como texto grande en pantalla los primeros 3 s y como portada.</t>
        </is>
      </c>
      <c r="M19" s="21" t="inlineStr">
        <is>
          <t>NIVEL 1</t>
        </is>
      </c>
      <c r="N19" s="21" t="inlineStr">
        <is>
          <t>Nivel 1 DESPERTAR · $2,000</t>
        </is>
      </c>
      <c r="O19" s="21" t="inlineStr">
        <is>
          <t>La pregunta que el papá de Sara Blakely le hacía cada semana 💡 y las 3 creencias que te frenan. Comenta NIVEL 1 y te mando el link 👇
#mabradiante #metas #leydeatraccion #decreto #mty</t>
        </is>
      </c>
      <c r="P19" s="21" t="inlineStr">
        <is>
          <t>La pregunta que el papá de Sara Blakely le hacía #mabradiante #metas #leydeatraccion #decreto #mty #shorts</t>
        </is>
      </c>
      <c r="Q19" s="21" t="inlineStr">
        <is>
          <t>#mabradiante #metas #leydeatraccion #decreto #mty</t>
        </is>
      </c>
      <c r="R19" s="21" t="inlineStr">
        <is>
          <t>Meta: superar tu mediana de TikTok (11,850 vistas). Viral para ti: más de 17,775 (1.5x). Instagram, Facebook y YouTube: s/d, los medimos en la rutina semanal.</t>
        </is>
      </c>
      <c r="S19" s="21" t="inlineStr">
        <is>
          <t>P7 + P5 · Famoso + lista de 3</t>
        </is>
      </c>
      <c r="T19" s="21" t="inlineStr">
        <is>
          <t>Pieza 3 vende, apoyada en un famoso o estudio real (7.6x) + lista. Va al final del día, cuando ya calentaste el tema. Sigue en tu mejor franja.</t>
        </is>
      </c>
      <c r="U19" s="21"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19" s="21" t="inlineStr">
        <is>
          <t>9/10</t>
        </is>
      </c>
      <c r="W19" s="21" t="inlineStr">
        <is>
          <t>Pieza de venta del día (1 de 3). Vende el Nivel 1, que ya está completo.</t>
        </is>
      </c>
      <c r="X19" s="8" t="inlineStr"/>
      <c r="Y19" s="8" t="inlineStr"/>
      <c r="Z19" s="8" t="inlineStr"/>
      <c r="AA19" s="8" t="inlineStr"/>
      <c r="AB19" s="8" t="inlineStr"/>
      <c r="AC19" s="8" t="inlineStr"/>
      <c r="AD19" s="8" t="inlineStr"/>
    </row>
    <row r="20" ht="409" customHeight="1">
      <c r="A20" s="24" t="inlineStr">
        <is>
          <t>Domingo</t>
        </is>
      </c>
      <c r="B20" s="24" t="inlineStr">
        <is>
          <t>2026-10-18</t>
        </is>
      </c>
      <c r="C20" s="24" t="inlineStr">
        <is>
          <t>12:30</t>
        </is>
      </c>
      <c r="D20" s="25" t="inlineStr">
        <is>
          <t>DOM-1</t>
        </is>
      </c>
      <c r="E20" s="26" t="inlineStr">
        <is>
          <t>3 PREGUNTAS PARA CERRAR TU SEMANA</t>
        </is>
      </c>
      <c r="F20" s="24" t="inlineStr">
        <is>
          <t>TikTok · Instagram Reels · Facebook Reels · YouTube Shorts</t>
        </is>
      </c>
      <c r="G20" s="24" t="inlineStr">
        <is>
          <t>Valor · cerrar la semana</t>
        </is>
      </c>
      <c r="H20" s="24" t="inlineStr">
        <is>
          <t>G5 · Lista de 3 preguntas + estudio</t>
        </is>
      </c>
      <c r="I20" s="24" t="inlineStr">
        <is>
          <t>Calma / claridad</t>
        </is>
      </c>
      <c r="J20" s="24" t="inlineStr">
        <is>
          <t>[0:00–0:04] GANCHO ✂️: "Antes de empezar otra semana igual, contesta estas 3 preguntas."
[0:04–0:11] GUARDAR Y COMPARTIR ✂️: "Guárdalo para cada domingo y compártelo con alguien que siente que las semanas se le van."
[0:11–0:21] DOLOR: "Las semanas se te van, una tras otra, y el lunes empiezas igual que el anterior: corriendo y sin saber hacia dónde."
[0:21–0:31] LISTA DE 3 ✂️: "Estas son las 3 preguntas: 1. ¿Qué me dio energía esta semana? 2. ¿Qué me la quitó? 3. ¿Qué voy a soltar la próxima?"
[0:31–0:47] DATO / AUTORIDAD: "Un estudio de Harvard Business School encontró que las personas que dedicaban 15 minutos al final del día a reflexionar sobre lo que aprendieron rindieron mejor que las que no lo hacían. Reflexionar también es avanzar."
[0:47–1:07] TU HISTORIA: "[TU HISTORIA REAL, 15–20 s: qué haces tú los domingos para cerrar tu semana]"
[1:07–1:39] HACKEO (hazlo conmigo) ✂️: "Hoy, antes de dormir, contesta las 3 preguntas por escrito. Elige una palabra que resuma lo que quieres para tu próxima semana. Repite conmigo: cierro esta semana con gratitud. Cierro esta semana con gratitud. Cierro esta semana con gratitud."
[1:39–1:46] REVELACIÓN: "No se trata de hacer más. Se trata de darte cuenta de qué te está haciendo bien."
[1:46–1:49] COMENTA ✂️: "Comenta SEMANA y la palabra que elegiste."
[1:49–1:52] CTA: "Sígueme: mañana empezamos una semana nueva de hackeos."</t>
        </is>
      </c>
      <c r="K20" s="24" t="inlineStr">
        <is>
          <t>TikTok ≈ 1:52 min
Reels/Shorts ≈ 0:56 min</t>
        </is>
      </c>
      <c r="L20" s="24" t="inlineStr">
        <is>
          <t>Video vertical 9:16, cara a cámara. TikTok: versión completa. Reels y Shorts: corte con las partes ✂️. Pon el TÍTULO DEL REEL como texto grande en pantalla los primeros 3 s y como portada.</t>
        </is>
      </c>
      <c r="M20" s="24" t="inlineStr">
        <is>
          <t>SEMANA</t>
        </is>
      </c>
      <c r="N20" s="24" t="inlineStr">
        <is>
          <t>Sin venta (conexión)</t>
        </is>
      </c>
      <c r="O20" s="24" t="inlineStr">
        <is>
          <t>3 preguntas para cerrar tu semana 🗓️ (15 minutos que, según Harvard, cambian cómo rindes). Comenta SEMANA + tu palabra 👇
#mabradiante #hackeatumente #espiritualidad #decreto #mty</t>
        </is>
      </c>
      <c r="P20" s="24" t="inlineStr">
        <is>
          <t>3 preguntas para cerrar tu semana #mabradiante #hackeatumente #espiritualidad #decreto #mty #shorts</t>
        </is>
      </c>
      <c r="Q20" s="24" t="inlineStr">
        <is>
          <t>#mabradiante #hackeatumente #espiritualidad #decreto #mty</t>
        </is>
      </c>
      <c r="R20" s="24" t="inlineStr">
        <is>
          <t>Meta: superar tu mediana de TikTok (11,850 vistas). Viral para ti: más de 17,775 (1.5x). Instagram, Facebook y YouTube: s/d, los medimos en la rutina semanal.</t>
        </is>
      </c>
      <c r="S20" s="24" t="inlineStr">
        <is>
          <t>P5 + P7 · Lista + estudio</t>
        </is>
      </c>
      <c r="T20" s="24" t="inlineStr">
        <is>
          <t>Pieza 1 abre el tema del día con una creencia rota + lista de 3 señales (el combo que más rinde según tu competencia). Mediodía: tus TikToks de 10 a 13 h rinden 1.6x tu mediana (5 videos).</t>
        </is>
      </c>
      <c r="U20" s="24"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20" s="24" t="inlineStr">
        <is>
          <t>9/10</t>
        </is>
      </c>
      <c r="W20" s="24" t="inlineStr">
        <is>
          <t>Sin venta.</t>
        </is>
      </c>
      <c r="X20" s="8" t="inlineStr"/>
      <c r="Y20" s="8" t="inlineStr"/>
      <c r="Z20" s="8" t="inlineStr"/>
      <c r="AA20" s="8" t="inlineStr"/>
      <c r="AB20" s="8" t="inlineStr"/>
      <c r="AC20" s="8" t="inlineStr"/>
      <c r="AD20" s="8" t="inlineStr"/>
    </row>
    <row r="21" ht="409" customHeight="1">
      <c r="A21" s="24" t="inlineStr">
        <is>
          <t>Domingo</t>
        </is>
      </c>
      <c r="B21" s="24" t="inlineStr">
        <is>
          <t>2026-10-18</t>
        </is>
      </c>
      <c r="C21" s="24" t="inlineStr">
        <is>
          <t>18:30</t>
        </is>
      </c>
      <c r="D21" s="25" t="inlineStr">
        <is>
          <t>DOM-2</t>
        </is>
      </c>
      <c r="E21" s="26" t="inlineStr">
        <is>
          <t>MI TDAH NO ERA UN DÉFICIT, ERA UNA ANTENA</t>
        </is>
      </c>
      <c r="F21" s="24" t="inlineStr">
        <is>
          <t>TikTok · Instagram Reels · Facebook Reels · YouTube Shorts</t>
        </is>
      </c>
      <c r="G21" s="24" t="inlineStr">
        <is>
          <t>Valor · TDAH como antena</t>
        </is>
      </c>
      <c r="H21" s="24" t="inlineStr">
        <is>
          <t>G1 + historia · Reencuadre personal</t>
        </is>
      </c>
      <c r="I21" s="24" t="inlineStr">
        <is>
          <t>Esperanza / orgullo</t>
        </is>
      </c>
      <c r="J21" s="24" t="inlineStr">
        <is>
          <t>[0:00–0:07] GANCHO ✂️: "Durante años creí que mi TDAH era un defecto. Hoy sé que es una de mis antenas."
[0:07–0:12] GUARDAR Y COMPARTIR ✂️: "Guárdalo y compártelo con alguien con TDAH que todavía se siente «demasiado»."
[0:12–0:18] DOLOR: "Te dijeron que eras distraída, intensa, que no terminabas nada. Y te lo creíste."
[0:18–0:37] LISTA DE 3 ✂️: "[Confirma o cambia por las tuyas] 3 cosas que aprendí a hacer con mi mente TDAH: 1. Dejar de pelear con mi atención y darle dirección. 2. Trabajar en bloques cortos, no en jornadas eternas. 3. Usar mi intensidad para crear, no para culparme."
[0:37–0:57] DATO / AUTORIDAD: "La ciencia describe el TDAH como una diferencia en cómo el cerebro regula la atención, no como falta de atención. Puedes concentrarte horas en lo que te apasiona; lo difícil es lo que no te estimula. No es un diagnóstico: si te identificas, busca a un profesional."
[0:57–1:17] TU HISTORIA: "[TU HISTORIA REAL, 15–20 s: cómo descubriste tu TDAH y qué cambió cuando aprendiste a dirigir tu mente]"
[1:17–1:52] HACKEO (hazlo conmigo) ✂️: "Hoy elige una tarea que llevas días evitando. Pon un temporizador de 15 minutos y haz solo eso. Cuando suene, para y celébralo. Repite conmigo: mi mente no está rota, necesita dirección. Mi mente no está rota, necesita dirección. Mi mente no está rota, necesita dirección."
[1:52–1:57] REVELACIÓN: "Lo que te hicieron sentir como defecto puede ser tu mayor antena."
[1:57–2:01] COMENTA ✂️: "Si tienes TDAH o crees que sí, comenta ANTENA."
[2:01–2:04] CTA: "Sígueme: aquí hablamos de mentes que funcionan diferente."</t>
        </is>
      </c>
      <c r="K21" s="24" t="inlineStr">
        <is>
          <t>TikTok ≈ 2:04 min
Reels/Shorts ≈ 1:10 min</t>
        </is>
      </c>
      <c r="L21" s="24" t="inlineStr">
        <is>
          <t>Video vertical 9:16, cara a cámara. TikTok: versión completa. Reels y Shorts: corte con las partes ✂️. Pon el TÍTULO DEL REEL como texto grande en pantalla los primeros 3 s y como portada.</t>
        </is>
      </c>
      <c r="M21" s="24" t="inlineStr">
        <is>
          <t>ANTENA</t>
        </is>
      </c>
      <c r="N21" s="24" t="inlineStr">
        <is>
          <t>Sin venta (conexión)</t>
        </is>
      </c>
      <c r="O21" s="24" t="inlineStr">
        <is>
          <t>Mi TDAH no era un déficit, era una antena 📡 3 cosas que aprendí a hacer con mi mente. Comenta ANTENA 👇
#mabradiante #hackeatumente #espiritualidad #decreto #mty</t>
        </is>
      </c>
      <c r="P21" s="24" t="inlineStr">
        <is>
          <t>Mi TDAH no era un déficit, era una antena #mabradiante #hackeatumente #espiritualidad #decreto #mty #shorts</t>
        </is>
      </c>
      <c r="Q21" s="24" t="inlineStr">
        <is>
          <t>#mabradiante #hackeatumente #espiritualidad #decreto #mty</t>
        </is>
      </c>
      <c r="R21" s="24" t="inlineStr">
        <is>
          <t>Meta: superar tu mediana de TikTok (11,850 vistas). Viral para ti: más de 17,775 (1.5x). Instagram, Facebook y YouTube: s/d, los medimos en la rutina semanal.</t>
        </is>
      </c>
      <c r="S21" s="24" t="inlineStr">
        <is>
          <t>P1 + P6 + P5 · Creencia + historia + lista</t>
        </is>
      </c>
      <c r="T21" s="24" t="inlineStr">
        <is>
          <t>Pieza 2 es la herramienta para usar ya: el patrón #1 de tu competencia (26x) y el de tus 4 videos más vistos. Va en tu mejor horario: de 18 a 21 h tus TikToks rinden 6.3x tu mediana (7 videos).</t>
        </is>
      </c>
      <c r="U21" s="24"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21" s="24" t="inlineStr">
        <is>
          <t>9/10</t>
        </is>
      </c>
      <c r="W21" s="24" t="inlineStr">
        <is>
          <t>Sin venta. TDAH rinde 13x en tu competencia (H3) y es tu historia real: los corchetes los llenas tú.</t>
        </is>
      </c>
      <c r="X21" s="8" t="inlineStr"/>
      <c r="Y21" s="8" t="inlineStr"/>
      <c r="Z21" s="8" t="inlineStr"/>
      <c r="AA21" s="8" t="inlineStr"/>
      <c r="AB21" s="8" t="inlineStr"/>
      <c r="AC21" s="8" t="inlineStr"/>
      <c r="AD21" s="8" t="inlineStr"/>
    </row>
    <row r="22" ht="409" customHeight="1">
      <c r="A22" s="24" t="inlineStr">
        <is>
          <t>Domingo</t>
        </is>
      </c>
      <c r="B22" s="24" t="inlineStr">
        <is>
          <t>2026-10-18</t>
        </is>
      </c>
      <c r="C22" s="24" t="inlineStr">
        <is>
          <t>20:30</t>
        </is>
      </c>
      <c r="D22" s="25" t="inlineStr">
        <is>
          <t>DOM-3</t>
        </is>
      </c>
      <c r="E22" s="26" t="inlineStr">
        <is>
          <t>LLAVE DE LUZ: ABRE TU SEMANA CON ESTE DECRETO</t>
        </is>
      </c>
      <c r="F22" s="24" t="inlineStr">
        <is>
          <t>TikTok · Instagram Reels · Facebook Reels · YouTube Shorts</t>
        </is>
      </c>
      <c r="G22" s="24" t="inlineStr">
        <is>
          <t>Valor · decreto de inicio de semana</t>
        </is>
      </c>
      <c r="H22" s="24" t="inlineStr">
        <is>
          <t>G2 · Promesa práctica («Cuidado con este video…»)</t>
        </is>
      </c>
      <c r="I22" s="24" t="inlineStr">
        <is>
          <t>Alivio + esperanza</t>
        </is>
      </c>
      <c r="J22" s="24" t="inlineStr">
        <is>
          <t>[0:00–0:06] GANCHO ✂️: "Cuidado con este video: este decreto abre tu semana antes de que empiece."
[0:06–0:11] GUARDAR Y COMPARTIR ✂️: "Guárdalo y compártelo con alguien que quiere empezar la semana diferente."
[0:11–0:18] DOLOR: "El domingo en la noche te llega esa sensación en el estómago: otra semana igual."
[0:18–0:28] LISTA DE 3 ✂️: "Son 3 pasos: 1. Escribe 3 intenciones para tu semana. 2. Mano en el pecho y respira lento. 3. Di el decreto 3 veces."
[0:28–0:45] DATO / AUTORIDAD: "«Llave de luz» es una de mis palabras gatillo: frases cortas que se repiten 3 veces para anclar una intención. Es un ritual, no ciencia: su fuerza está en la repetición y en la intención con que lo dices."
[0:45–1:23] HACKEO (hazlo conmigo) ✂️: "Escribe tus 3 intenciones. Mano en el pecho. Respira lento. Ahora repite conmigo: abro mi semana a lo que sí elijo. Abro mi semana a lo que sí elijo. Abro mi semana a lo que sí elijo. Llave de luz, llave de luz, llave de luz. Hecho está, hecho está, hecho está."
[1:23–1:29] REVELACIÓN: "Tu semana no empieza el lunes. Empieza cuando decides cómo la vas a vivir."
[1:29–1:32] COMENTA ✂️: "Cuando lo hagas, comenta HECHO ESTÁ."
[1:32–1:34] CTA: "Guárdalo y hazlo cada domingo."</t>
        </is>
      </c>
      <c r="K22" s="24" t="inlineStr">
        <is>
          <t>TikTok ≈ 1:34 min
Reels/Shorts ≈ 1:02 min</t>
        </is>
      </c>
      <c r="L22" s="24" t="inlineStr">
        <is>
          <t>Video vertical 9:16, cara a cámara. TikTok: versión completa. Reels y Shorts: corte con las partes ✂️. Pon el TÍTULO DEL REEL como texto grande en pantalla los primeros 3 s y como portada.</t>
        </is>
      </c>
      <c r="M22" s="24" t="inlineStr">
        <is>
          <t>HECHO ESTÁ</t>
        </is>
      </c>
      <c r="N22" s="24" t="inlineStr">
        <is>
          <t>Sin venta (conexión)</t>
        </is>
      </c>
      <c r="O22" s="24" t="inlineStr">
        <is>
          <t>Llave de luz 🗝️✨ Abre tu semana con este decreto antes de que empiece. Guárdalo y comenta HECHO ESTÁ 👇
#mabradiante #hackeatumente #espiritualidad #decreto #mty</t>
        </is>
      </c>
      <c r="P22" s="24" t="inlineStr">
        <is>
          <t>Llave de luz: abre tu semana con este decreto #mabradiante #hackeatumente #espiritualidad #decreto #mty #shorts</t>
        </is>
      </c>
      <c r="Q22" s="24" t="inlineStr">
        <is>
          <t>#mabradiante #hackeatumente #espiritualidad #decreto #mty</t>
        </is>
      </c>
      <c r="R22" s="24" t="inlineStr">
        <is>
          <t>Meta: superar tu mediana de TikTok (11,850 vistas). Viral para ti: más de 17,775 (1.5x). Instagram, Facebook y YouTube: s/d, los medimos en la rutina semanal.</t>
        </is>
      </c>
      <c r="S22" s="24" t="inlineStr">
        <is>
          <t>P2 · Herramienta para usar ya</t>
        </is>
      </c>
      <c r="T22" s="24" t="inlineStr">
        <is>
          <t>Pieza 3 vende, apoyada en un famoso o estudio real (7.6x) + lista. Va al final del día, cuando ya calentaste el tema. Sigue en tu mejor franja.</t>
        </is>
      </c>
      <c r="U22" s="24" t="inlineStr">
        <is>
          <t>Primera frase = gancho (G1, G2, G6 o G9), sin saludo: 2
Quita la culpa antes de enseñar: 0
Un dato de ciencia o un ejemplo real (hallazgo 2): 1
Algo para usar ya (hallazgo 1): 2
Pide guardar/compartir en los primeros 15 s: 1
Pide comentar una palabra: 1
Venta al final en 1 frase (o sin venta): 1
Vocabulario BNQ™, nada de la lista prohibida: 1
Total: 9/10
Lista de 3 (hallazgo 2): sí</t>
        </is>
      </c>
      <c r="V22" s="24" t="inlineStr">
        <is>
          <t>9/10</t>
        </is>
      </c>
      <c r="W22" s="24" t="inlineStr">
        <is>
          <t>Sin venta. Mismo formato que tu video viral de 2.2M (decreto + «hecho está»).</t>
        </is>
      </c>
      <c r="X22" s="8" t="inlineStr"/>
      <c r="Y22" s="8" t="inlineStr"/>
      <c r="Z22" s="8" t="inlineStr"/>
      <c r="AA22" s="8" t="inlineStr"/>
      <c r="AB22" s="8" t="inlineStr"/>
      <c r="AC22" s="8" t="inlineStr"/>
      <c r="AD22" s="8" t="inlineStr"/>
    </row>
    <row r="24">
      <c r="W24" s="27" t="inlineStr">
        <is>
          <t>Grabadas:</t>
        </is>
      </c>
      <c r="X24" s="27">
        <f>COUNTIF(X2:X22,"Sí")&amp;" de "&amp;COUNTA(D2:D22)</f>
        <v/>
      </c>
    </row>
    <row r="25">
      <c r="W25" s="27" t="inlineStr">
        <is>
          <t>Publicadas:</t>
        </is>
      </c>
      <c r="X25" s="27">
        <f>COUNTIF(Y2:Y22,"Sí")&amp;" de "&amp;COUNTA(D2:D22)</f>
        <v/>
      </c>
    </row>
  </sheetData>
  <autoFilter ref="A1:AD22"/>
  <dataValidations count="1">
    <dataValidation sqref="X2:Y22 AD2:AD22" showDropDown="0" showInputMessage="0" showErrorMessage="0" allowBlank="1"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40" customWidth="1" min="3" max="3"/>
    <col width="34" customWidth="1" min="4" max="4"/>
    <col width="40" customWidth="1" min="5" max="5"/>
    <col width="45" customWidth="1" min="6" max="6"/>
    <col width="50" customWidth="1" min="7" max="7"/>
    <col width="34" customWidth="1" min="8" max="8"/>
    <col width="55" customWidth="1" min="9" max="9"/>
    <col width="36" customWidth="1" min="10" max="10"/>
    <col width="30" customWidth="1" min="11" max="11"/>
    <col width="40" customWidth="1" min="12" max="12"/>
  </cols>
  <sheetData>
    <row r="1" ht="40" customHeight="1">
      <c r="A1" s="4" t="inlineStr">
        <is>
          <t>PIEZA</t>
        </is>
      </c>
      <c r="B1" s="4" t="inlineStr">
        <is>
          <t>TÍTULO DEL REEL</t>
        </is>
      </c>
      <c r="C1" s="4" t="inlineStr">
        <is>
          <t>GANCHO</t>
        </is>
      </c>
      <c r="D1" s="4" t="inlineStr">
        <is>
          <t>GUARDAR Y COMPARTIR</t>
        </is>
      </c>
      <c r="E1" s="4" t="inlineStr">
        <is>
          <t>DOLOR</t>
        </is>
      </c>
      <c r="F1" s="4" t="inlineStr">
        <is>
          <t>LISTA DE 3</t>
        </is>
      </c>
      <c r="G1" s="4" t="inlineStr">
        <is>
          <t>DATO / AUTORIDAD</t>
        </is>
      </c>
      <c r="H1" s="4" t="inlineStr">
        <is>
          <t>TU HISTORIA (real)</t>
        </is>
      </c>
      <c r="I1" s="4" t="inlineStr">
        <is>
          <t>HACKEO</t>
        </is>
      </c>
      <c r="J1" s="4" t="inlineStr">
        <is>
          <t>REVELACIÓN</t>
        </is>
      </c>
      <c r="K1" s="4" t="inlineStr">
        <is>
          <t>COMENTA</t>
        </is>
      </c>
      <c r="L1" s="4" t="inlineStr">
        <is>
          <t>CTA</t>
        </is>
      </c>
    </row>
    <row r="2" ht="260" customHeight="1">
      <c r="A2" s="6" t="inlineStr">
        <is>
          <t>LUN-1</t>
        </is>
      </c>
      <c r="B2" s="7" t="inlineStr">
        <is>
          <t>3 SEÑALES DE QUE TU MENTE RECHAZA EL DINERO</t>
        </is>
      </c>
      <c r="C2" s="5" t="inlineStr">
        <is>
          <t>No es que no te alcance el dinero. Es que tu mente tiene 3 programas que lo sacan de tu vida, y casi nadie los ve.</t>
        </is>
      </c>
      <c r="D2" s="5" t="inlineStr">
        <is>
          <t>Guarda este video antes de que se te pierda y compártelo con alguien que siente que el dinero se le escapa de las manos.</t>
        </is>
      </c>
      <c r="E2" s="5" t="inlineStr">
        <is>
          <t>Te pagan y a la semana ya no hay. Te llega un dinero extra y justo aparece un gasto del mismo tamaño. Y empiezas a creer que el dinero no es para ti. No eres tú. Es un programa que se instaló antes de que pudieras elegirlo.</t>
        </is>
      </c>
      <c r="F2" s="5" t="inlineStr">
        <is>
          <t>Estas son las 3 señales:
1. Cuando te llega dinero sientes alivio… y luego culpa o miedo a perderlo.
2. Te cuesta cobrar lo que vale tu trabajo, y pedir más te da vergüenza.
3. En tu casa, hablar de dinero era sinónimo de pelea o de «no alcanza».</t>
        </is>
      </c>
      <c r="G2" s="5" t="inlineStr">
        <is>
          <t>Los investigadores Sendhil Mullainathan y Eldar Shafir lo explican en su libro «Escasez»: cuando la mente vive en carencia, le queda menos espacio para pensar y decidir. No es falta de inteligencia: es una mente ocupada sobreviviendo. Desde lo energético, es una frecuencia de «no alcanza» que se repite hasta que la ves.</t>
        </is>
      </c>
      <c r="H2" s="5" t="inlineStr">
        <is>
          <t>[TU HISTORIA REAL, 15–20 s: la frase de dinero que más escuchaste de niña y cómo se repitió en tu vida]</t>
        </is>
      </c>
      <c r="I2" s="5" t="inlineStr">
        <is>
          <t>Esta noche toma una hoja. Arriba escribe la frase de dinero que más escuchaste de niña. Abajo escribe su versión nueva. Por ejemplo: «no alcanza» se convierte en «el dinero llega y yo sé sostenerlo». Léela en voz alta 3 veces antes de dormir, durante 7 noches. Repite conmigo: el dinero llega y yo sé sostenerlo. El dinero llega y yo sé sostenerlo. El dinero llega y yo sé sostenerlo.</t>
        </is>
      </c>
      <c r="J2" s="5" t="inlineStr">
        <is>
          <t>El dinero no se va porque seas mala con él. Se va porque tu cuerpo todavía no se siente seguro teniéndolo.</t>
        </is>
      </c>
      <c r="K2" s="5" t="inlineStr">
        <is>
          <t>Comenta SEÑALES y dime cuál de las 3 es la tuya.</t>
        </is>
      </c>
      <c r="L2" s="5" t="inlineStr">
        <is>
          <t>Sígueme: esta semana te traigo un hackeo para cada área de tu vida.</t>
        </is>
      </c>
    </row>
    <row r="3" ht="260" customHeight="1">
      <c r="A3" s="6" t="inlineStr">
        <is>
          <t>LUN-2</t>
        </is>
      </c>
      <c r="B3" s="7" t="inlineStr">
        <is>
          <t>DI ESTO CADA VEZ QUE PAGUES ALGO</t>
        </is>
      </c>
      <c r="C3" s="5" t="inlineStr">
        <is>
          <t>Cuidado con este video porque vamos a cambiar la forma en que tu cuerpo recibe y suelta el dinero.</t>
        </is>
      </c>
      <c r="D3" s="5" t="inlineStr">
        <is>
          <t>Guárdalo antes de que se te pierda y compártelo con la amiga que siempre dice «no me alcanza».</t>
        </is>
      </c>
      <c r="E3" s="5" t="inlineStr">
        <is>
          <t>Abres la app del banco y se te aprieta el estómago. Pagas algo y sientes que pierdes. Eso no es tacañería: es tu sistema nervioso asociando dinero con peligro.</t>
        </is>
      </c>
      <c r="F3" s="5" t="inlineStr">
        <is>
          <t>Lo vamos a hacer en 3 pasos:
1. Antes de pagar, pon la mano en el pecho y exhala largo.
2. Mira el dinero o la pantalla y di el decreto.
3. Sonríe al pagar, aunque al principio te cueste.</t>
        </is>
      </c>
      <c r="G3" s="5" t="inlineStr">
        <is>
          <t>Tu cerebro aprende por repetición: cada vez que repites una sensación, esa conexión neuronal se fortalece. Por eso este ritual se hace 3 veces y durante 7 días. Lo espiritual lo llama decreto; la neurociencia, neuroplasticidad.</t>
        </is>
      </c>
      <c r="H3" s="5" t="inlineStr">
        <is>
          <t>—</t>
        </is>
      </c>
      <c r="I3" s="5" t="inlineStr">
        <is>
          <t>Hagámoslo juntas ahora. Mano en el pecho. Inhala… y exhala largo. Ahora repite conmigo: gracias por llegar, te recibo con calma, te dejo ir sabiendo que regresas multiplicado. Otra vez: gracias por llegar, te recibo con calma, te dejo ir sabiendo que regresas multiplicado. Una más: gracias por llegar, te recibo con calma, te dejo ir sabiendo que regresas multiplicado. Tarro de miel, tarro de miel, tarro de miel.</t>
        </is>
      </c>
      <c r="J3" s="5" t="inlineStr">
        <is>
          <t>No necesitas más dinero para estar en paz con él. Necesitas paz para que el dinero se quede.</t>
        </is>
      </c>
      <c r="K3" s="5" t="inlineStr">
        <is>
          <t>Cuando lo hagas, comenta HECHO ESTÁ.</t>
        </is>
      </c>
      <c r="L3" s="5" t="inlineStr">
        <is>
          <t>Guárdalo y hazlo 7 días seguidos.</t>
        </is>
      </c>
    </row>
    <row r="4" ht="260" customHeight="1">
      <c r="A4" s="6" t="inlineStr">
        <is>
          <t>LUN-3</t>
        </is>
      </c>
      <c r="B4" s="7" t="inlineStr">
        <is>
          <t>EL CHEQUE DE 10 MILLONES DE JIM CARREY</t>
        </is>
      </c>
      <c r="C4" s="5" t="inlineStr">
        <is>
          <t>Jim Carrey se escribió un cheque de 10 millones de dólares cuando todavía no tenía éxito. Y lo que hizo después es lo que casi nadie cuenta.</t>
        </is>
      </c>
      <c r="D4" s="5" t="inlineStr">
        <is>
          <t>Guárdalo y compártelo con alguien que ya hizo su vision board y sigue esperando.</t>
        </is>
      </c>
      <c r="E4" s="5" t="inlineStr">
        <is>
          <t>Tú también has escrito metas, has visualizado, has hecho rituales… y nada. Y empiezas a preguntarte qué te falta.</t>
        </is>
      </c>
      <c r="F4" s="5" t="inlineStr">
        <is>
          <t>Lo que hizo Carrey tiene 3 partes, y si te falta una, tu visualización se queda en sueño:
1. Una cifra y una fecha concretas: él puso 10 millones y Acción de Gracias de 1995.
2. Sentirlo en el cuerpo, no solo pensarlo: él lo cargaba en la cartera y lo veía cada día.
3. Actuar cada día como la persona que ya lo tiene: él mismo dice que no basta con visualizar y sentarse a esperar.</t>
        </is>
      </c>
      <c r="G4" s="5" t="inlineStr">
        <is>
          <t>Carrey contó en entrevistas que a principios de los 90 se escribió ese cheque «por servicios de actuación prestados». Poco antes de esa fecha supo que le pagarían 10 millones por una película. Lo espiritual lo llama decretar; la psicología lo llama identidad: actúas según quien crees que eres.</t>
        </is>
      </c>
      <c r="H4" s="5" t="inlineStr">
        <is>
          <t>[TU HISTORIA REAL, 15–20 s: una meta que se te dio cuando empezaste a actuar como si ya la tuvieras]</t>
        </is>
      </c>
      <c r="I4" s="5" t="inlineStr">
        <is>
          <t>Hoy escribe tu propio cheque: tu nombre, una cifra realista para los próximos 12 meses y una fecha. Detrás escribe: ¿qué haría hoy la mujer que ya cobra esto? Y haz una de esas cosas hoy mismo. Repite conmigo: soy la mujer que ya lo recibe. Soy la mujer que ya lo recibe. Soy la mujer que ya lo recibe.</t>
        </is>
      </c>
      <c r="J4" s="5" t="inlineStr">
        <is>
          <t>El cheque no trae el dinero. Te cambia a ti, y tú traes el dinero.</t>
        </is>
      </c>
      <c r="K4" s="5" t="inlineStr">
        <is>
          <t>Si quieres que te guíe, comenta ADN y te mando el link.</t>
        </is>
      </c>
      <c r="L4" s="5" t="inlineStr">
        <is>
          <t>En ADN Millonario trabajamos los programas de dinero que heredaste para activar tu frecuencia de abundancia.</t>
        </is>
      </c>
    </row>
    <row r="5" ht="260" customHeight="1">
      <c r="A5" s="10" t="inlineStr">
        <is>
          <t>MAR-1</t>
        </is>
      </c>
      <c r="B5" s="11" t="inlineStr">
        <is>
          <t>3 SEÑALES DE ANSIEDAD QUE CREES QUE SON TU PERSONALIDAD</t>
        </is>
      </c>
      <c r="C5" s="9" t="inlineStr">
        <is>
          <t>No eres intensa ni exagerada. Hay 3 señales de ansiedad que la mayoría confunde con su forma de ser.</t>
        </is>
      </c>
      <c r="D5" s="9" t="inlineStr">
        <is>
          <t>Guárdalo y compártelo con alguien a quien siempre le dicen «relájate».</t>
        </is>
      </c>
      <c r="E5" s="9" t="inlineStr">
        <is>
          <t>Por fuera estás bien, por dentro vas corriendo. Te dicen «relájate» y te dan ganas de llorar. No es que seas así. Es que tu cuerpo aprendió a vivir en alerta.</t>
        </is>
      </c>
      <c r="F5" s="9" t="inlineStr">
        <is>
          <t>Estas son las 3 señales:
1. Necesitas tener todo bajo control, y un cambio de planes te desarma.
2. Imaginas la peor versión de todo «para estar preparada».
3. Te cuesta descansar sin sentir culpa.</t>
        </is>
      </c>
      <c r="G5" s="9" t="inlineStr">
        <is>
          <t>La ciencia lo explica así: cuando el cerebro se acostumbra a estar en alerta, la amígdala, tu detector de peligro, se activa con más facilidad, y el cuerpo vive como si algo malo estuviera por pasar. Las tradiciones contemplativas lo llaman una mente que no está en el presente.</t>
        </is>
      </c>
      <c r="H5" s="9" t="inlineStr">
        <is>
          <t>[TU HISTORIA REAL, 15–20 s: cómo se veía tu ansiedad con TDAH antes de aprender a dirigir tu mente]</t>
        </is>
      </c>
      <c r="I5" s="9" t="inlineStr">
        <is>
          <t>Cuando notes una de estas 3 señales, ponle nombre en voz baja: «esto es mi alarma, no la realidad». Luego pregúntate: ¿qué es lo que sí está pasando ahora mismo? Repite conmigo: esto es mi alarma, no la realidad. Esto es mi alarma, no la realidad. Esto es mi alarma, no la realidad.</t>
        </is>
      </c>
      <c r="J5" s="9" t="inlineStr">
        <is>
          <t>Tú no eres ansiosa. Tienes una alarma que nadie te enseñó a apagar.</t>
        </is>
      </c>
      <c r="K5" s="9" t="inlineStr">
        <is>
          <t>Comenta ALARMA y dime cuál de las 3 te pasa más.</t>
        </is>
      </c>
      <c r="L5" s="9" t="inlineStr">
        <is>
          <t>Sígueme para más hackeos para tu mente.</t>
        </is>
      </c>
    </row>
    <row r="6" ht="260" customHeight="1">
      <c r="A6" s="10" t="inlineStr">
        <is>
          <t>MAR-2</t>
        </is>
      </c>
      <c r="B6" s="11" t="inlineStr">
        <is>
          <t>EL SUSPIRO QUE BAJA LA ANSIEDAD EN 1 MINUTO</t>
        </is>
      </c>
      <c r="C6" s="9" t="inlineStr">
        <is>
          <t>Haz esto conmigo ahora mismo y siente cómo baja la ansiedad en menos de un minuto.</t>
        </is>
      </c>
      <c r="D6" s="9" t="inlineStr">
        <is>
          <t>Guárdalo para cuando lo necesites y compártelo con alguien que hoy trae el pecho apretado.</t>
        </is>
      </c>
      <c r="E6" s="9" t="inlineStr">
        <is>
          <t>Ese nudo en el pecho, el corazón rápido, la mente que no para. Y todos te dicen «respira»… pero nadie te dice cómo.</t>
        </is>
      </c>
      <c r="F6" s="9" t="inlineStr">
        <is>
          <t>Se llama suspiro cíclico y son 3 pasos:
1. Inhala por la nariz.
2. Encima, una segunda inhalación cortita, hasta llenarte.
3. Exhala largo y lento por la boca.</t>
        </is>
      </c>
      <c r="G6" s="9" t="inlineStr">
        <is>
          <t>En 2023, un estudio de la Universidad de Stanford, publicado en Cell Reports Medicine, comparó varias técnicas de respiración. Las personas que hicieron este suspiro 5 minutos al día mejoraron más su estado de ánimo que las que hicieron meditación de atención. La exhalación larga le avisa a tu cuerpo que no hay peligro.</t>
        </is>
      </c>
      <c r="H6" s="9" t="inlineStr">
        <is>
          <t>—</t>
        </is>
      </c>
      <c r="I6" s="9" t="inlineStr">
        <is>
          <t>Hagámoslo juntas. Inhala por la nariz… otra inhalación cortita encima… y exhala largo por la boca. Otra vez: inhala… otra cortita… exhala largo. Una vez más: inhala… cortita… y suelta todo. Ahora repite conmigo: estoy a salvo. Estoy a salvo. Estoy a salvo. Hielo azul, hielo azul, hielo azul.</t>
        </is>
      </c>
      <c r="J6" s="9" t="inlineStr">
        <is>
          <t>Tu respiración es el control remoto de tu sistema nervioso, y lo traes contigo a todas partes.</t>
        </is>
      </c>
      <c r="K6" s="9" t="inlineStr">
        <is>
          <t>Si sentiste la diferencia, comenta CALMA.</t>
        </is>
      </c>
      <c r="L6" s="9" t="inlineStr">
        <is>
          <t>Guárdalo y hazlo 5 minutos al día esta semana.</t>
        </is>
      </c>
    </row>
    <row r="7" ht="260" customHeight="1">
      <c r="A7" s="10" t="inlineStr">
        <is>
          <t>MAR-3</t>
        </is>
      </c>
      <c r="B7" s="11" t="inlineStr">
        <is>
          <t>15 MINUTOS DE ESCRITURA QUE CALMAN TU MENTE</t>
        </is>
      </c>
      <c r="C7" s="9" t="inlineStr">
        <is>
          <t>Un psicólogo de Texas descubrió que escribir 15 minutos lo que sientes puede bajar tu carga mental. Y casi nadie lo usa.</t>
        </is>
      </c>
      <c r="D7" s="9" t="inlineStr">
        <is>
          <t>Guárdalo y compártelo con alguien que se acuesta y su mente se prende.</t>
        </is>
      </c>
      <c r="E7" s="9" t="inlineStr">
        <is>
          <t>Te acuestas, apagas la luz… y tu mente empieza a repasar todo lo que dijiste, lo que falta y lo que podría salir mal.</t>
        </is>
      </c>
      <c r="F7" s="9" t="inlineStr">
        <is>
          <t>Tu mente no suelta por 3 errores muy comunes:
1. Intentas no pensar, y piensas más.
2. Te llevas los pendientes a la cama.
3. Te callas lo que sientes para no molestar.</t>
        </is>
      </c>
      <c r="G7" s="9" t="inlineStr">
        <is>
          <t>James Pennebaker, de la Universidad de Texas, estudió la «escritura expresiva»: personas que escribieron de 15 a 20 minutos sobre lo que sentían, durante unos días, reportaron sentirse mejor que las que escribieron de temas neutros. Desde lo energético: lo que no se expresa se queda dando vueltas en tu campo.</t>
        </is>
      </c>
      <c r="H7" s="9" t="inlineStr">
        <is>
          <t>[TU HISTORIA REAL, 15–20 s: qué hacías tú en las noches cuando tu mente no te dejaba dormir]</t>
        </is>
      </c>
      <c r="I7" s="9" t="inlineStr">
        <is>
          <t>Hoy, antes de dormir: 10 minutos escribiendo sin parar lo que sientes, no lo que tienes que hacer. No corrijas nada. Cuando termines, cierra la libreta y di: lo solté en el papel, ya no lo cargo en el cuerpo. Repite conmigo: lo solté en el papel, ya no lo cargo en el cuerpo. Lo solté en el papel, ya no lo cargo en el cuerpo.</t>
        </is>
      </c>
      <c r="J7" s="9" t="inlineStr">
        <is>
          <t>Lo que no se expresa se queda dando vueltas. Lo que escribes deja de cargarte.</t>
        </is>
      </c>
      <c r="K7" s="9" t="inlineStr">
        <is>
          <t>Si tu mente no te deja dormir, comenta DORMIR y te mando el link.</t>
        </is>
      </c>
      <c r="L7" s="9" t="inlineStr">
        <is>
          <t>En Querida Ansiedad te doy la auditoría mental y los audios para bajarle la velocidad a tu mente.</t>
        </is>
      </c>
    </row>
    <row r="8" ht="260" customHeight="1">
      <c r="A8" s="13" t="inlineStr">
        <is>
          <t>MIÉ-1</t>
        </is>
      </c>
      <c r="B8" s="14" t="inlineStr">
        <is>
          <t>3 SEÑALES DE QUE NO ES AMOR, ES ENGANCHE</t>
        </is>
      </c>
      <c r="C8" s="12" t="inlineStr">
        <is>
          <t>No es que lo ames demasiado. Es que tu cerebro está enganchado, y hay 3 señales que lo delatan.</t>
        </is>
      </c>
      <c r="D8" s="12" t="inlineStr">
        <is>
          <t>Guárdalo y compártelo con esa amiga que siempre vuelve con la misma persona.</t>
        </is>
      </c>
      <c r="E8" s="12" t="inlineStr">
        <is>
          <t>Revisas si se conectó. Ves sus historias aunque te duelan. Te prometes no escribirle… y le escribes. No estás loca. Estás enganchada.</t>
        </is>
      </c>
      <c r="F8" s="12" t="inlineStr">
        <is>
          <t>Estas son las 3 señales:
1. Te sientes peor cuando lo ves, pero no puedes dejar de buscarlo.
2. Un mensaje suyo te sube al cielo y su silencio te tira al piso.
3. Ya sabes que no te hace bien… y aun así lo justificas.</t>
        </is>
      </c>
      <c r="G8" s="12" t="inlineStr">
        <is>
          <t>El psicólogo B. F. Skinner observó que cuando una recompensa llega a veces sí y a veces no, la conducta se vuelve más difícil de soltar. Es lo mismo que pasa con las máquinas tragamonedas. Por eso una relación intermitente engancha más que una estable. En lo energético, es un cordón que sigue abierto.</t>
        </is>
      </c>
      <c r="H8" s="12" t="inlineStr">
        <is>
          <t>[TU HISTORIA REAL, 15–20 s: una relación en la que confundiste intensidad con amor]</t>
        </is>
      </c>
      <c r="I8" s="12" t="inlineStr">
        <is>
          <t>Esta semana, cada vez que quieras revisar su perfil, cuenta hasta 10 y di en voz baja: esto es enganche, no amor; mi atención es mía. Repite conmigo: esto es enganche, no amor; mi atención es mía. Esto es enganche, no amor; mi atención es mía. Esto es enganche, no amor; mi atención es mía.</t>
        </is>
      </c>
      <c r="J8" s="12" t="inlineStr">
        <is>
          <t>El enganche se siente como amor porque es intenso. El amor sano se siente como paz.</t>
        </is>
      </c>
      <c r="K8" s="12" t="inlineStr">
        <is>
          <t>Comenta ENGANCHE si te pasó o te está pasando.</t>
        </is>
      </c>
      <c r="L8" s="12" t="inlineStr">
        <is>
          <t>Sígueme: estoy preparando algo para ayudarte a soltar.</t>
        </is>
      </c>
    </row>
    <row r="9" ht="260" customHeight="1">
      <c r="A9" s="13" t="inlineStr">
        <is>
          <t>MIÉ-2</t>
        </is>
      </c>
      <c r="B9" s="14" t="inlineStr">
        <is>
          <t>CORTA EL CORDÓN CON ESTE DECRETO</t>
        </is>
      </c>
      <c r="C9" s="12" t="inlineStr">
        <is>
          <t>Cuidado con este video si no puedes dejar de pensar en alguien que ya se fue.</t>
        </is>
      </c>
      <c r="D9" s="12" t="inlineStr">
        <is>
          <t>Guárdalo para la noche en que más lo necesites y compártelo con quien está soltando a alguien.</t>
        </is>
      </c>
      <c r="E9" s="12" t="inlineStr">
        <is>
          <t>Ya terminó, pero sigues sintiéndolo. Piensas en él justo cuando él publica algo. Es como si hubiera un cable que nunca se desconectó.</t>
        </is>
      </c>
      <c r="F9" s="12" t="inlineStr">
        <is>
          <t>El ritual tiene 3 pasos:
1. Cierra los ojos e imagínalo frente a ti.
2. Observa el cordón de luz que los une.
3. Córtalo con amor, sin rabia, con el decreto.</t>
        </is>
      </c>
      <c r="G9" s="12" t="inlineStr">
        <is>
          <t>En muchas tradiciones espirituales se habla de cordones energéticos: los lazos que quedan después de una relación. No es ciencia, es un ritual, y los rituales le dan al cuerpo un cierre que la mente sola no encuentra.</t>
        </is>
      </c>
      <c r="H9" s="12" t="inlineStr">
        <is>
          <t>—</t>
        </is>
      </c>
      <c r="I9" s="12" t="inlineStr">
        <is>
          <t>Hagámoslo ahora. Cierra los ojos. Imagínalo frente a ti. Mira el cordón que los une. Ahora, en tu mano aparece una espada de luz. Repite conmigo: te devuelvo lo que es tuyo, recupero lo que es mío. Te devuelvo lo que es tuyo, recupero lo que es mío. Te devuelvo lo que es tuyo, recupero lo que es mío. Espada de luz, espada de luz, espada de luz. Corta. Respira. Hecho está.</t>
        </is>
      </c>
      <c r="J9" s="12" t="inlineStr">
        <is>
          <t>Soltar no es olvidarlo. Es dejar de darle tu energía.</t>
        </is>
      </c>
      <c r="K9" s="12" t="inlineStr">
        <is>
          <t>Cuando lo hagas, comenta LIBRE.</t>
        </is>
      </c>
      <c r="L9" s="12" t="inlineStr">
        <is>
          <t>Guárdalo para cuando lo necesites.</t>
        </is>
      </c>
    </row>
    <row r="10" ht="260" customHeight="1">
      <c r="A10" s="13" t="inlineStr">
        <is>
          <t>MIÉ-3</t>
        </is>
      </c>
      <c r="B10" s="14" t="inlineStr">
        <is>
          <t>BEYONCÉ TENÍA UN ALTER EGO: SASHA FIERCE</t>
        </is>
      </c>
      <c r="C10" s="12" t="inlineStr">
        <is>
          <t>Beyoncé contó que era tímida en el escenario hasta que creó a Sasha Fierce. Y eso tiene todo que ver con por qué te conformas en el amor.</t>
        </is>
      </c>
      <c r="D10" s="12" t="inlineStr">
        <is>
          <t>Guárdalo y compártelo con la amiga que siempre explica de más lo que necesita.</t>
        </is>
      </c>
      <c r="E10" s="12" t="inlineStr">
        <is>
          <t>Sabes lo que mereces, pero cuando estás frente a esa persona te haces chiquita. Ruegas, explicas, esperas.</t>
        </is>
      </c>
      <c r="F10" s="12" t="inlineStr">
        <is>
          <t>Tu alter ego en el amor hace 3 cosas que tú todavía no:
1. No explica de más lo que necesita.
2. Se va cuando algo no le hace bien, sin pedir permiso.
3. Elige con calma, no con hambre de cariño.</t>
        </is>
      </c>
      <c r="G10" s="12" t="inlineStr">
        <is>
          <t>Hay un estudio de 2017 con niños, en la revista Child Development, que encontró algo curioso: los que se imaginaban como un personaje, por ejemplo Batman, perseveraban más en una tarea aburrida. Le llamaron el «efecto Batman». Tomar distancia de ti misma a través de un personaje te da fuerza.</t>
        </is>
      </c>
      <c r="H10" s="12" t="inlineStr">
        <is>
          <t>[TU HISTORIA REAL, 15–20 s: una vez que te hiciste chiquita frente a alguien y qué habría hecho tu versión fuerte]</t>
        </is>
      </c>
      <c r="I10" s="12" t="inlineStr">
        <is>
          <t>Ponle nombre a tu versión que ya no ruega. Hoy, antes de responder un mensaje, pregúntate: ¿qué haría ella? Y responde desde ahí. Repite conmigo: yo elijo desde mi valor, no desde mi miedo. Yo elijo desde mi valor, no desde mi miedo. Yo elijo desde mi valor, no desde mi miedo.</t>
        </is>
      </c>
      <c r="J10" s="12" t="inlineStr">
        <is>
          <t>No necesitas convertirte en otra persona. Necesitas permiso para ser la versión que ya existe en ti.</t>
        </is>
      </c>
      <c r="K10" s="12" t="inlineStr">
        <is>
          <t>Si quieres crear la tuya, comenta ALTER EGO y te mando el link.</t>
        </is>
      </c>
      <c r="L10" s="12" t="inlineStr">
        <is>
          <t>En Crea y Activa tu Alter Ego te guío paso a paso para instalar esa identidad.</t>
        </is>
      </c>
    </row>
    <row r="11" ht="260" customHeight="1">
      <c r="A11" s="16" t="inlineStr">
        <is>
          <t>JUE-1</t>
        </is>
      </c>
      <c r="B11" s="17" t="inlineStr">
        <is>
          <t>3 SEÑALES DE QUE ESTÁS DESPERTANDO (Y POR QUÉ DUELE)</t>
        </is>
      </c>
      <c r="C11" s="15" t="inlineStr">
        <is>
          <t>No es que estés perdida. Puede que estés despertando, y hay 3 señales que lo delatan.</t>
        </is>
      </c>
      <c r="D11" s="15" t="inlineStr">
        <is>
          <t>Guárdalo y compártelo con alguien que siente que ya no encaja en su propia vida.</t>
        </is>
      </c>
      <c r="E11" s="15" t="inlineStr">
        <is>
          <t>Tienes lo que se supone que querías, y aun así sientes un vacío. Nadie a tu alrededor lo entiende, y empiezas a pensar que algo está mal contigo.</t>
        </is>
      </c>
      <c r="F11" s="15" t="inlineStr">
        <is>
          <t>Estas son las 3 señales:
1. Lo que antes te llenaba ahora te aburre.
2. Ya no aguantas conversaciones vacías.
3. Sientes que «tiene que haber algo más».</t>
        </is>
      </c>
      <c r="G11" s="15" t="inlineStr">
        <is>
          <t>Viktor Frankl, el psiquiatra que sobrevivió a los campos de concentración, llamó «vacío existencial» a esta sensación, y escribió que el ser humano puede soportar casi cualquier cosa si encuentra un para qué. Las tradiciones espirituales lo llaman la noche oscura del alma.</t>
        </is>
      </c>
      <c r="H11" s="15" t="inlineStr">
        <is>
          <t>[TU HISTORIA REAL, 15–20 s: el momento en que sentiste que tu vida ya no te quedaba]</t>
        </is>
      </c>
      <c r="I11" s="15" t="inlineStr">
        <is>
          <t>Escribe 3 momentos de tu vida en los que te sentiste viva de verdad. Luego busca qué tienen en común. Ahí está la primera pista de tu para qué. Repite conmigo: mi vacío es espacio para lo nuevo. Mi vacío es espacio para lo nuevo. Mi vacío es espacio para lo nuevo.</t>
        </is>
      </c>
      <c r="J11" s="15" t="inlineStr">
        <is>
          <t>El vacío no es el final. Es el espacio donde empieza lo que de verdad eres.</t>
        </is>
      </c>
      <c r="K11" s="15" t="inlineStr">
        <is>
          <t>Si te pasa, comenta DESPERTANDO.</t>
        </is>
      </c>
      <c r="L11" s="15" t="inlineStr">
        <is>
          <t>Sígueme para más hackeos de consciencia.</t>
        </is>
      </c>
    </row>
    <row r="12" ht="260" customHeight="1">
      <c r="A12" s="16" t="inlineStr">
        <is>
          <t>JUE-2</t>
        </is>
      </c>
      <c r="B12" s="17" t="inlineStr">
        <is>
          <t>RITUAL DE 3 MINUTOS PARA VOLVER A TI</t>
        </is>
      </c>
      <c r="C12" s="15" t="inlineStr">
        <is>
          <t>Cuidado con este video: este ritual de 3 minutos te devuelve a ti cuando te sientes vacía.</t>
        </is>
      </c>
      <c r="D12" s="15" t="inlineStr">
        <is>
          <t>Guárdalo para mañana temprano y compártelo con alguien que anda en piloto automático.</t>
        </is>
      </c>
      <c r="E12" s="15" t="inlineStr">
        <is>
          <t>Te levantas, agarras el celular, y el día se te va sin que te hayas preguntado ni una vez cómo estás tú.</t>
        </is>
      </c>
      <c r="F12" s="15" t="inlineStr">
        <is>
          <t>Son 3 pasos:
1. Mano en el corazón y 3 respiraciones lentas.
2. Pregúntate: ¿qué necesito hoy?
3. Di el decreto 3 veces.</t>
        </is>
      </c>
      <c r="G12" s="15" t="inlineStr">
        <is>
          <t>La ciencia llama «interocepción» a tu capacidad de sentir lo que pasa dentro de tu cuerpo, y la investigación la relaciona con regular mejor tus emociones. Lo espiritual lo llama volver a tu centro.</t>
        </is>
      </c>
      <c r="H12" s="15" t="inlineStr">
        <is>
          <t>—</t>
        </is>
      </c>
      <c r="I12" s="15" t="inlineStr">
        <is>
          <t>Hagámoslo ahora. Mano en el corazón. Respira lento… una… dos… tres. Pregúntate en silencio: ¿qué necesito hoy? Escucha lo primero que llegue. Ahora repite conmigo: estoy aquí, estoy despierta, elijo mi camino. Estoy aquí, estoy despierta, elijo mi camino. Estoy aquí, estoy despierta, elijo mi camino. Hecho está.</t>
        </is>
      </c>
      <c r="J12" s="15" t="inlineStr">
        <is>
          <t>No necesitas irte a una montaña para encontrarte. Necesitas 3 minutos en los que no te abandones.</t>
        </is>
      </c>
      <c r="K12" s="15" t="inlineStr">
        <is>
          <t>Cuando lo hagas, comenta PRESENTE.</t>
        </is>
      </c>
      <c r="L12" s="15" t="inlineStr">
        <is>
          <t>Guárdalo y hazlo 7 mañanas seguidas.</t>
        </is>
      </c>
    </row>
    <row r="13" ht="260" customHeight="1">
      <c r="A13" s="16" t="inlineStr">
        <is>
          <t>JUE-3</t>
        </is>
      </c>
      <c r="B13" s="17" t="inlineStr">
        <is>
          <t>LO QUE STEVE JOBS DIJO SOBRE UNIR LOS PUNTOS</t>
        </is>
      </c>
      <c r="C13" s="15" t="inlineStr">
        <is>
          <t>En 2005, Steve Jobs dijo en la Universidad de Stanford una frase que explica por qué hoy no le encuentras sentido a tu vida.</t>
        </is>
      </c>
      <c r="D13" s="15" t="inlineStr">
        <is>
          <t>Guárdalo y compártelo con alguien que está en plena crisis de sentido.</t>
        </is>
      </c>
      <c r="E13" s="15" t="inlineStr">
        <is>
          <t>Miras tu vida y no entiendes para qué pasó lo que pasó: la ruptura, el trabajo que perdiste, la crisis que te obligó a parar.</t>
        </is>
      </c>
      <c r="F13" s="15" t="inlineStr">
        <is>
          <t>Jobs dijo que los puntos no se unen mirando hacia adelante, solo hacia atrás. Y hay 3 puntos que quizá ya estás uniendo:
1. La crisis que te obligó a parar.
2. La pregunta que no te deja en paz.
3. Lo que de pronto te encuentra, como este video.</t>
        </is>
      </c>
      <c r="G13" s="15" t="inlineStr">
        <is>
          <t>Fue en su discurso de graduación de Stanford: «no puedes unir los puntos mirando hacia adelante; solo puedes unirlos mirando hacia atrás». Lo espiritual lo llama sincronicidad; la psicología, darle sentido a tu historia.</t>
        </is>
      </c>
      <c r="H13" s="15" t="inlineStr">
        <is>
          <t>[TU HISTORIA REAL, 15–20 s: un momento difícil que hoy entiendes que te llevó a donde estás]</t>
        </is>
      </c>
      <c r="I13" s="15" t="inlineStr">
        <is>
          <t>Dibuja una línea en una hoja. Pon 5 momentos clave de tu vida, buenos y difíciles. Únelos. Y pregúntate: ¿hacia dónde apuntan? Repite conmigo: nada de lo que viví fue en vano. Nada de lo que viví fue en vano. Nada de lo que viví fue en vano.</t>
        </is>
      </c>
      <c r="J13" s="15" t="inlineStr">
        <is>
          <t>Tu vida no está desordenada. Todavía no has visto el dibujo completo.</t>
        </is>
      </c>
      <c r="K13" s="15" t="inlineStr">
        <is>
          <t>Si quieres un mapa para tu despertar, comenta DESPIERTA y te mando el link.</t>
        </is>
      </c>
      <c r="L13" s="15" t="inlineStr">
        <is>
          <t>En DESPIERTA te acompaño en los primeros pasos de tu despertar con un mapa claro.</t>
        </is>
      </c>
    </row>
    <row r="14" ht="260" customHeight="1">
      <c r="A14" s="19" t="inlineStr">
        <is>
          <t>VIE-1</t>
        </is>
      </c>
      <c r="B14" s="20" t="inlineStr">
        <is>
          <t>3 SEÑALES DE QUE TU CUERPO NO DESCANSA AUNQUE DUERMAS</t>
        </is>
      </c>
      <c r="C14" s="18" t="inlineStr">
        <is>
          <t>No es flojera ni falta de voluntad. Hay 3 señales de que tu cuerpo sigue en alerta aunque duermas 8 horas.</t>
        </is>
      </c>
      <c r="D14" s="18" t="inlineStr">
        <is>
          <t>Guárdalo y compártelo con alguien que vive cansada aunque duerma.</t>
        </is>
      </c>
      <c r="E14" s="18" t="inlineStr">
        <is>
          <t>Te despiertas como si no hubieras dormido. El café ya no te hace nada. Y te sientes culpable por no rendir.</t>
        </is>
      </c>
      <c r="F14" s="18" t="inlineStr">
        <is>
          <t>Estas son las 3 señales:
1. Te despiertas cansada.
2. Aprietas la mandíbula o los hombros sin darte cuenta.
3. Cuando por fin descansas, te duele algo o te enfermas.</t>
        </is>
      </c>
      <c r="G14" s="18" t="inlineStr">
        <is>
          <t>Hans Selye, el médico que popularizó la palabra «estrés», describió que cuando el estrés dura demasiado, el cuerpo pasa de la alarma a la resistencia… y luego al agotamiento. Desde lo energético, es un campo que gasta más de lo que recarga.</t>
        </is>
      </c>
      <c r="H14" s="18" t="inlineStr">
        <is>
          <t>[TU HISTORIA REAL, 15–20 s: cómo te diste cuenta de que tu cuerpo estaba en alerta]</t>
        </is>
      </c>
      <c r="I14" s="18" t="inlineStr">
        <is>
          <t>Haz este escaneo de 30 segundos: recorre tu cuerpo de la cabeza a los pies y pregúntate dónde estás apretando. Lleva tu exhalación a esa zona y suéltala. Hazlo 3 veces al día. Repite conmigo: mi cuerpo puede soltar. Mi cuerpo puede soltar. Mi cuerpo puede soltar.</t>
        </is>
      </c>
      <c r="J14" s="18" t="inlineStr">
        <is>
          <t>No estás cansada de vivir. Estás cansada de sobrevivir.</t>
        </is>
      </c>
      <c r="K14" s="18" t="inlineStr">
        <is>
          <t>Comenta ALERTA si te identificaste.</t>
        </is>
      </c>
      <c r="L14" s="18" t="inlineStr">
        <is>
          <t>Sígueme para más hackeos de energía.</t>
        </is>
      </c>
    </row>
    <row r="15" ht="260" customHeight="1">
      <c r="A15" s="19" t="inlineStr">
        <is>
          <t>VIE-2</t>
        </is>
      </c>
      <c r="B15" s="20" t="inlineStr">
        <is>
          <t>DECRETO PARA APAGAR LA ALERTA ANTES DE DORMIR</t>
        </is>
      </c>
      <c r="C15" s="18" t="inlineStr">
        <is>
          <t>Cuidado con este video: vamos a decirle a tu cuerpo que ya puede soltar.</t>
        </is>
      </c>
      <c r="D15" s="18" t="inlineStr">
        <is>
          <t>Guárdalo para esta noche y compártelo con alguien que no logra desconectarse.</t>
        </is>
      </c>
      <c r="E15" s="18" t="inlineStr">
        <is>
          <t>Ya te acostaste, pero tu cuerpo sigue en el día: los hombros arriba, el estómago apretado, la mente repasando.</t>
        </is>
      </c>
      <c r="F15" s="18" t="inlineStr">
        <is>
          <t>Son 3 pasos, acostada:
1. Mano en el vientre.
2. Inhala en 4 y exhala en 8.
3. Di el decreto 3 veces.</t>
        </is>
      </c>
      <c r="G15" s="18" t="inlineStr">
        <is>
          <t>Cuando exhalas más largo de lo que inhalas, ayudas a activar la parte de tu sistema nervioso que baja revoluciones, la que se asocia con el nervio vago. Lo espiritual lo llama soltar el día.</t>
        </is>
      </c>
      <c r="H15" s="18" t="inlineStr">
        <is>
          <t>—</t>
        </is>
      </c>
      <c r="I15" s="18" t="inlineStr">
        <is>
          <t>Acuéstate. Mano en el vientre. Inhala en 4… exhala en 8. Otra vez. Una más. Ahora repite conmigo: gracias, cuerpo, por cuidarme; ya estamos a salvo; puedes descansar. Gracias, cuerpo, por cuidarme; ya estamos a salvo; puedes descansar. Gracias, cuerpo, por cuidarme; ya estamos a salvo; puedes descansar. Hecho está.</t>
        </is>
      </c>
      <c r="J15" s="18" t="inlineStr">
        <is>
          <t>Tu cuerpo no necesita que lo obligues a descansar. Necesita que le avises que ya puede.</t>
        </is>
      </c>
      <c r="K15" s="18" t="inlineStr">
        <is>
          <t>Cuando lo hagas, comenta DESCANSO.</t>
        </is>
      </c>
      <c r="L15" s="18" t="inlineStr">
        <is>
          <t>Guárdalo y hazlo 7 noches.</t>
        </is>
      </c>
    </row>
    <row r="16" ht="260" customHeight="1">
      <c r="A16" s="19" t="inlineStr">
        <is>
          <t>VIE-3</t>
        </is>
      </c>
      <c r="B16" s="20" t="inlineStr">
        <is>
          <t>LA OMS YA LE PUSO NOMBRE A TU AGOTAMIENTO</t>
        </is>
      </c>
      <c r="C16" s="18" t="inlineStr">
        <is>
          <t>La Organización Mundial de la Salud ya le puso nombre a ese agotamiento que sientes, y tiene 3 señales.</t>
        </is>
      </c>
      <c r="D16" s="18" t="inlineStr">
        <is>
          <t>Guárdalo y compártelo con alguien que siempre dice «estoy bien» y no lo está.</t>
        </is>
      </c>
      <c r="E16" s="18" t="inlineStr">
        <is>
          <t>Haces todo, cumples con todos, y aun así sientes que no te queda nada. Y lo peor: te sientes culpable por estar cansada.</t>
        </is>
      </c>
      <c r="F16" s="18" t="inlineStr">
        <is>
          <t>En 2019, la OMS incluyó el agotamiento laboral en su clasificación como un fenómeno ligado al trabajo, con 3 señales:
1. Te sientes sin energía o agotada.
2. Te distancias o te vuelves negativa con tu trabajo.
3. Sientes que rindes menos.</t>
        </is>
      </c>
      <c r="G16" s="18" t="inlineStr">
        <is>
          <t>Lo describe la Clasificación Internacional de Enfermedades (CIE-11) de la OMS. No es un diagnóstico que hago yo: si te identificas mucho, busca a un profesional. Desde lo energético, es un campo drenado que sigue dando sin recargar.</t>
        </is>
      </c>
      <c r="H16" s="18" t="inlineStr">
        <is>
          <t>[TU HISTORIA REAL, 15–20 s: tu momento de agotamiento y qué te hizo parar]</t>
        </is>
      </c>
      <c r="I16" s="18" t="inlineStr">
        <is>
          <t>Elige hoy una sola cosa que vas a dejar de hacer esta semana. Solo una. Escríbela y avísale a alguien. Repite conmigo: dejar de hacer también es avanzar. Dejar de hacer también es avanzar. Dejar de hacer también es avanzar.</t>
        </is>
      </c>
      <c r="J16" s="18" t="inlineStr">
        <is>
          <t>No necesitas más energía. Necesitas dejar de fugarla.</t>
        </is>
      </c>
      <c r="K16" s="18" t="inlineStr">
        <is>
          <t>Si quieres salir de la alerta, comenta APAGAR y te mando el link.</t>
        </is>
      </c>
      <c r="L16" s="18" t="inlineStr">
        <is>
          <t>En Apaga el Modo Supervivencia te doy el protocolo para salir de la alerta paso a paso.</t>
        </is>
      </c>
    </row>
    <row r="17" ht="260" customHeight="1">
      <c r="A17" s="22" t="inlineStr">
        <is>
          <t>SÁB-1</t>
        </is>
      </c>
      <c r="B17" s="23" t="inlineStr">
        <is>
          <t>3 RAZONES POR LAS QUE ABANDONAS TUS METAS</t>
        </is>
      </c>
      <c r="C17" s="21" t="inlineStr">
        <is>
          <t>No es falta de disciplina. Hay 3 razones por las que abandonas tus metas, y ninguna es que seas floja.</t>
        </is>
      </c>
      <c r="D17" s="21" t="inlineStr">
        <is>
          <t>Guárdalo y compártelo con alguien que lleva años diciendo «este año sí».</t>
        </is>
      </c>
      <c r="E17" s="21" t="inlineStr">
        <is>
          <t>Empiezas con todo, y a las dos semanas ya lo dejaste. Y la voz de siempre te dice: «¿ves? nunca terminas nada».</t>
        </is>
      </c>
      <c r="F17" s="21" t="inlineStr">
        <is>
          <t>Estas son las 3 razones:
1. La meta es de tu cabeza, no de tu cuerpo: no la sientes tuya.
2. Te mides con la versión perfecta y no con la de ayer.
3. No decidiste qué vas a hacer el día que falles.</t>
        </is>
      </c>
      <c r="G17" s="21" t="inlineStr">
        <is>
          <t>El psicólogo Peter Gollwitzer estudió las «intenciones de implementación»: planear «si pasa esto, entonces hago aquello». En muchos estudios, la gente que lo hace cumple más sus metas. Lo espiritual lo llama coherencia: lo que piensas, sientes y haces, juntos.</t>
        </is>
      </c>
      <c r="H17" s="21" t="inlineStr">
        <is>
          <t>[TU HISTORIA REAL, 15–20 s: una meta que abandonaste y qué te faltó]</t>
        </is>
      </c>
      <c r="I17" s="21" t="inlineStr">
        <is>
          <t>Escribe tu meta. Abajo escribe: «si un día no lo hago, entonces mañana…» y completa la frase. Esa línea es tu red de seguridad. Repite conmigo: fallar un día no me saca del camino. Fallar un día no me saca del camino. Fallar un día no me saca del camino.</t>
        </is>
      </c>
      <c r="J17" s="21" t="inlineStr">
        <is>
          <t>No te falta disciplina. Te falta un plan para el día que fallas.</t>
        </is>
      </c>
      <c r="K17" s="21" t="inlineStr">
        <is>
          <t>Escribe tu meta en comentarios con la palabra META y te leo.</t>
        </is>
      </c>
      <c r="L17" s="21" t="inlineStr">
        <is>
          <t>Sígueme: mañana te dejo un decreto para empezar la semana.</t>
        </is>
      </c>
    </row>
    <row r="18" ht="260" customHeight="1">
      <c r="A18" s="22" t="inlineStr">
        <is>
          <t>SÁB-2</t>
        </is>
      </c>
      <c r="B18" s="23" t="inlineStr">
        <is>
          <t>DECRETA TU META CONMIGO EN VOZ ALTA</t>
        </is>
      </c>
      <c r="C18" s="21" t="inlineStr">
        <is>
          <t>Detén lo que estás haciendo: vamos a decretar tu meta juntas, en voz alta.</t>
        </is>
      </c>
      <c r="D18" s="21" t="inlineStr">
        <is>
          <t>Guárdalo y compártelo con alguien que necesita creer en sí misma hoy.</t>
        </is>
      </c>
      <c r="E18" s="21" t="inlineStr">
        <is>
          <t>Tienes la meta clara en la cabeza, pero cuando la dices en voz alta te da pena, como si no te la creyeras.</t>
        </is>
      </c>
      <c r="F18" s="21" t="inlineStr">
        <is>
          <t>Son 3 pasos:
1. Di tu meta en presente, como si ya fuera.
2. Siente en el cuerpo la emoción de tenerla.
3. Sella con el decreto 3 veces.</t>
        </is>
      </c>
      <c r="G18" s="21" t="inlineStr">
        <is>
          <t>Investigadores de la Universidad de Waterloo encontraron que recordamos mejor lo que decimos en voz alta que lo que solo leemos en silencio. Le llaman «efecto de producción». Por eso el decreto se dice, no solo se piensa.</t>
        </is>
      </c>
      <c r="H18" s="21" t="inlineStr">
        <is>
          <t>—</t>
        </is>
      </c>
      <c r="I18" s="21" t="inlineStr">
        <is>
          <t>Ahora. Di tu meta en voz alta, en presente: «yo ya…». Siente la emoción en el pecho. Y repite conmigo: lo que decido, lo sostengo. Lo que decido, lo sostengo. Lo que decido, lo sostengo. Llave de luz, llave de luz, llave de luz. Hecho está.</t>
        </is>
      </c>
      <c r="J18" s="21" t="inlineStr">
        <is>
          <t>Una meta que no te atreves a decir en voz alta todavía no es tuya. Hoy la hiciste tuya.</t>
        </is>
      </c>
      <c r="K18" s="21" t="inlineStr">
        <is>
          <t>Cuando lo hagas, comenta HECHO ESTÁ.</t>
        </is>
      </c>
      <c r="L18" s="21" t="inlineStr">
        <is>
          <t>Guárdalo y repítelo cada mañana.</t>
        </is>
      </c>
    </row>
    <row r="19" ht="260" customHeight="1">
      <c r="A19" s="22" t="inlineStr">
        <is>
          <t>SÁB-3</t>
        </is>
      </c>
      <c r="B19" s="23" t="inlineStr">
        <is>
          <t>LA PREGUNTA QUE EL PAPÁ DE SARA BLAKELY LE HACÍA</t>
        </is>
      </c>
      <c r="C19" s="21" t="inlineStr">
        <is>
          <t>Cada semana, el papá de Sara Blakely, la fundadora de Spanx, le preguntaba en la cena: ¿en qué fallaste esta semana?</t>
        </is>
      </c>
      <c r="D19" s="21" t="inlineStr">
        <is>
          <t>Guárdalo y compártelo con alguien a quien el miedo a fallar la tiene paralizada.</t>
        </is>
      </c>
      <c r="E19" s="21" t="inlineStr">
        <is>
          <t>No empiezas porque no te sientes lista. Y si empiezas y algo sale mal, lo tomas como prueba de que no puedes.</t>
        </is>
      </c>
      <c r="F19" s="21" t="inlineStr">
        <is>
          <t>Blakely cuenta que eso le quitó el miedo a fallar. Estas son 3 creencias que ella no tenía, y tú quizá sí:
1. Fallar es vergonzoso.
2. Hay que estar lista para empezar.
3. Si no sale perfecto, no vale.</t>
        </is>
      </c>
      <c r="G19" s="21" t="inlineStr">
        <is>
          <t>Sara Blakely lo ha contado en muchas entrevistas: si no tenía un fallo que contar, su papá se decepcionaba. Fallar significaba que lo había intentado. Hoy es una de las empresarias más reconocidas del mundo. Tu subconsciente también aprendió qué significa fallar.</t>
        </is>
      </c>
      <c r="H19" s="21" t="inlineStr">
        <is>
          <t>[TU HISTORIA REAL, 15–20 s: qué significaba fallar en tu casa cuando eras niña]</t>
        </is>
      </c>
      <c r="I19" s="21" t="inlineStr">
        <is>
          <t>Hoy responde tú la pregunta: ¿en qué fallé esta semana y qué aprendí? Escríbelo sin juzgarte. Repite conmigo: fallar es la prueba de que lo intenté. Fallar es la prueba de que lo intenté. Fallar es la prueba de que lo intenté.</t>
        </is>
      </c>
      <c r="J19" s="21" t="inlineStr">
        <is>
          <t>La creencia más peligrosa es la que no sabes que tienes. Y casi siempre es sobre fallar.</t>
        </is>
      </c>
      <c r="K19" s="21" t="inlineStr">
        <is>
          <t>Si quieres hackear tus creencias de raíz, comenta NIVEL 1 y te mando el link.</t>
        </is>
      </c>
      <c r="L19" s="21" t="inlineStr">
        <is>
          <t>En el Nivel 1 de Las Fórmulas Cuánticas hackeamos las creencias que no sabes que tienes.</t>
        </is>
      </c>
    </row>
    <row r="20" ht="260" customHeight="1">
      <c r="A20" s="25" t="inlineStr">
        <is>
          <t>DOM-1</t>
        </is>
      </c>
      <c r="B20" s="26" t="inlineStr">
        <is>
          <t>3 PREGUNTAS PARA CERRAR TU SEMANA</t>
        </is>
      </c>
      <c r="C20" s="24" t="inlineStr">
        <is>
          <t>Antes de empezar otra semana igual, contesta estas 3 preguntas.</t>
        </is>
      </c>
      <c r="D20" s="24" t="inlineStr">
        <is>
          <t>Guárdalo para cada domingo y compártelo con alguien que siente que las semanas se le van.</t>
        </is>
      </c>
      <c r="E20" s="24" t="inlineStr">
        <is>
          <t>Las semanas se te van, una tras otra, y el lunes empiezas igual que el anterior: corriendo y sin saber hacia dónde.</t>
        </is>
      </c>
      <c r="F20" s="24" t="inlineStr">
        <is>
          <t>Estas son las 3 preguntas:
1. ¿Qué me dio energía esta semana?
2. ¿Qué me la quitó?
3. ¿Qué voy a soltar la próxima?</t>
        </is>
      </c>
      <c r="G20" s="24" t="inlineStr">
        <is>
          <t>Un estudio de Harvard Business School encontró que las personas que dedicaban 15 minutos al final del día a reflexionar sobre lo que aprendieron rindieron mejor que las que no lo hacían. Reflexionar también es avanzar.</t>
        </is>
      </c>
      <c r="H20" s="24" t="inlineStr">
        <is>
          <t>[TU HISTORIA REAL, 15–20 s: qué haces tú los domingos para cerrar tu semana]</t>
        </is>
      </c>
      <c r="I20" s="24" t="inlineStr">
        <is>
          <t>Hoy, antes de dormir, contesta las 3 preguntas por escrito. Elige una palabra que resuma lo que quieres para tu próxima semana. Repite conmigo: cierro esta semana con gratitud. Cierro esta semana con gratitud. Cierro esta semana con gratitud.</t>
        </is>
      </c>
      <c r="J20" s="24" t="inlineStr">
        <is>
          <t>No se trata de hacer más. Se trata de darte cuenta de qué te está haciendo bien.</t>
        </is>
      </c>
      <c r="K20" s="24" t="inlineStr">
        <is>
          <t>Comenta SEMANA y la palabra que elegiste.</t>
        </is>
      </c>
      <c r="L20" s="24" t="inlineStr">
        <is>
          <t>Sígueme: mañana empezamos una semana nueva de hackeos.</t>
        </is>
      </c>
    </row>
    <row r="21" ht="260" customHeight="1">
      <c r="A21" s="25" t="inlineStr">
        <is>
          <t>DOM-2</t>
        </is>
      </c>
      <c r="B21" s="26" t="inlineStr">
        <is>
          <t>MI TDAH NO ERA UN DÉFICIT, ERA UNA ANTENA</t>
        </is>
      </c>
      <c r="C21" s="24" t="inlineStr">
        <is>
          <t>Durante años creí que mi TDAH era un defecto. Hoy sé que es una de mis antenas.</t>
        </is>
      </c>
      <c r="D21" s="24" t="inlineStr">
        <is>
          <t>Guárdalo y compártelo con alguien con TDAH que todavía se siente «demasiado».</t>
        </is>
      </c>
      <c r="E21" s="24" t="inlineStr">
        <is>
          <t>Te dijeron que eras distraída, intensa, que no terminabas nada. Y te lo creíste.</t>
        </is>
      </c>
      <c r="F21" s="24" t="inlineStr">
        <is>
          <t>[Confirma o cambia por las tuyas] 3 cosas que aprendí a hacer con mi mente TDAH:
1. Dejar de pelear con mi atención y darle dirección.
2. Trabajar en bloques cortos, no en jornadas eternas.
3. Usar mi intensidad para crear, no para culparme.</t>
        </is>
      </c>
      <c r="G21" s="24" t="inlineStr">
        <is>
          <t>La ciencia describe el TDAH como una diferencia en cómo el cerebro regula la atención, no como falta de atención. Puedes concentrarte horas en lo que te apasiona; lo difícil es lo que no te estimula. No es un diagnóstico: si te identificas, busca a un profesional.</t>
        </is>
      </c>
      <c r="H21" s="24" t="inlineStr">
        <is>
          <t>[TU HISTORIA REAL, 15–20 s: cómo descubriste tu TDAH y qué cambió cuando aprendiste a dirigir tu mente]</t>
        </is>
      </c>
      <c r="I21" s="24" t="inlineStr">
        <is>
          <t>Hoy elige una tarea que llevas días evitando. Pon un temporizador de 15 minutos y haz solo eso. Cuando suene, para y celébralo. Repite conmigo: mi mente no está rota, necesita dirección. Mi mente no está rota, necesita dirección. Mi mente no está rota, necesita dirección.</t>
        </is>
      </c>
      <c r="J21" s="24" t="inlineStr">
        <is>
          <t>Lo que te hicieron sentir como defecto puede ser tu mayor antena.</t>
        </is>
      </c>
      <c r="K21" s="24" t="inlineStr">
        <is>
          <t>Si tienes TDAH o crees que sí, comenta ANTENA.</t>
        </is>
      </c>
      <c r="L21" s="24" t="inlineStr">
        <is>
          <t>Sígueme: aquí hablamos de mentes que funcionan diferente.</t>
        </is>
      </c>
    </row>
    <row r="22" ht="260" customHeight="1">
      <c r="A22" s="25" t="inlineStr">
        <is>
          <t>DOM-3</t>
        </is>
      </c>
      <c r="B22" s="26" t="inlineStr">
        <is>
          <t>LLAVE DE LUZ: ABRE TU SEMANA CON ESTE DECRETO</t>
        </is>
      </c>
      <c r="C22" s="24" t="inlineStr">
        <is>
          <t>Cuidado con este video: este decreto abre tu semana antes de que empiece.</t>
        </is>
      </c>
      <c r="D22" s="24" t="inlineStr">
        <is>
          <t>Guárdalo y compártelo con alguien que quiere empezar la semana diferente.</t>
        </is>
      </c>
      <c r="E22" s="24" t="inlineStr">
        <is>
          <t>El domingo en la noche te llega esa sensación en el estómago: otra semana igual.</t>
        </is>
      </c>
      <c r="F22" s="24" t="inlineStr">
        <is>
          <t>Son 3 pasos:
1. Escribe 3 intenciones para tu semana.
2. Mano en el pecho y respira lento.
3. Di el decreto 3 veces.</t>
        </is>
      </c>
      <c r="G22" s="24" t="inlineStr">
        <is>
          <t>«Llave de luz» es una de mis palabras gatillo: frases cortas que se repiten 3 veces para anclar una intención. Es un ritual, no ciencia: su fuerza está en la repetición y en la intención con que lo dices.</t>
        </is>
      </c>
      <c r="H22" s="24" t="inlineStr">
        <is>
          <t>—</t>
        </is>
      </c>
      <c r="I22" s="24" t="inlineStr">
        <is>
          <t>Escribe tus 3 intenciones. Mano en el pecho. Respira lento. Ahora repite conmigo: abro mi semana a lo que sí elijo. Abro mi semana a lo que sí elijo. Abro mi semana a lo que sí elijo. Llave de luz, llave de luz, llave de luz. Hecho está, hecho está, hecho está.</t>
        </is>
      </c>
      <c r="J22" s="24" t="inlineStr">
        <is>
          <t>Tu semana no empieza el lunes. Empieza cuando decides cómo la vas a vivir.</t>
        </is>
      </c>
      <c r="K22" s="24" t="inlineStr">
        <is>
          <t>Cuando lo hagas, comenta HECHO ESTÁ.</t>
        </is>
      </c>
      <c r="L22" s="24" t="inlineStr">
        <is>
          <t>Guárdalo y hazlo cada domingo.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4" customWidth="1" min="3" max="3"/>
    <col width="10" customWidth="1" min="4" max="4"/>
  </cols>
  <sheetData>
    <row r="1" ht="40" customHeight="1">
      <c r="A1" s="4" t="inlineStr">
        <is>
          <t>Día</t>
        </is>
      </c>
      <c r="B1" s="4" t="inlineStr">
        <is>
          <t>Tu tarea</t>
        </is>
      </c>
      <c r="C1" s="4" t="inlineStr">
        <is>
          <t>Tiempo aprox.</t>
        </is>
      </c>
      <c r="D1" s="4" t="inlineStr">
        <is>
          <t>¿Hecho?</t>
        </is>
      </c>
    </row>
    <row r="2">
      <c r="A2" s="28" t="inlineStr">
        <is>
          <t>Domingo 11 (tarde-noche)</t>
        </is>
      </c>
      <c r="B2" s="29" t="inlineStr">
        <is>
          <t>Grabar las 6 piezas de lunes y martes (LUN-1 a MAR-3). Llena antes los [corchetes] de TU HISTORIA.</t>
        </is>
      </c>
      <c r="C2" s="29" t="inlineStr">
        <is>
          <t>2 h</t>
        </is>
      </c>
      <c r="D2" s="8" t="inlineStr"/>
    </row>
    <row r="3">
      <c r="A3" s="28" t="inlineStr">
        <is>
          <t>Lunes 12</t>
        </is>
      </c>
      <c r="B3" s="29" t="inlineStr">
        <is>
          <t>Grabar las 6 piezas de miércoles y jueves (MIÉ-1 a JUE-3). Publicar LUN-1, 2 y 3 a su hora.</t>
        </is>
      </c>
      <c r="C3" s="29" t="inlineStr">
        <is>
          <t>2 h</t>
        </is>
      </c>
      <c r="D3" s="8" t="inlineStr"/>
    </row>
    <row r="4">
      <c r="A4" s="28" t="inlineStr">
        <is>
          <t>Martes 13</t>
        </is>
      </c>
      <c r="B4" s="29" t="inlineStr">
        <is>
          <t>Grabar las 9 piezas de viernes, sábado y domingo + el YouTube largo. Publicar MAR-1, 2 y 3.</t>
        </is>
      </c>
      <c r="C4" s="29" t="inlineStr">
        <is>
          <t>3 h</t>
        </is>
      </c>
      <c r="D4" s="8" t="inlineStr"/>
    </row>
    <row r="5">
      <c r="A5" s="28" t="inlineStr">
        <is>
          <t>Miércoles 14 a sábado 17</t>
        </is>
      </c>
      <c r="B5" s="29" t="inlineStr">
        <is>
          <t>Publicar a su hora y responder los comentarios con la palabra clave (con el link si es pieza de venta).</t>
        </is>
      </c>
      <c r="C5" s="29" t="inlineStr">
        <is>
          <t>30 min al día</t>
        </is>
      </c>
      <c r="D5" s="8" t="inlineStr"/>
    </row>
    <row r="6">
      <c r="A6" s="28" t="inlineStr">
        <is>
          <t>Si aún no grabaste Querido Ex</t>
        </is>
      </c>
      <c r="B6" s="29" t="inlineStr">
        <is>
          <t>Miércoles 14: audios 0 al 3. Jueves 15: audios 4 al 7 (pestaña Querido Ex).</t>
        </is>
      </c>
      <c r="C6" s="29" t="inlineStr">
        <is>
          <t>45 min c/u</t>
        </is>
      </c>
      <c r="D6" s="8" t="inlineStr"/>
    </row>
    <row r="7">
      <c r="A7" s="28" t="inlineStr">
        <is>
          <t>Domingo 18 (noche)</t>
        </is>
      </c>
      <c r="B7" s="29" t="inlineStr">
        <is>
          <t>Me pides tu "rutina semanal".</t>
        </is>
      </c>
      <c r="C7" s="29" t="inlineStr">
        <is>
          <t>15 min</t>
        </is>
      </c>
      <c r="D7" s="8" t="inlineStr"/>
    </row>
    <row r="10">
      <c r="B10" s="30" t="inlineStr">
        <is>
          <t>TIPS PARA GRABAR</t>
        </is>
      </c>
    </row>
    <row r="11">
      <c r="B11" s="2" t="inlineStr">
        <is>
          <t>Ahora los videos duran 2 a 3 minutos en TikTok. Graba la versión completa; del mismo video se corta la versión de Reels con las partes ✂️.</t>
        </is>
      </c>
    </row>
    <row r="12">
      <c r="B12" s="2" t="inlineStr">
        <is>
          <t>El TÍTULO DEL REEL va como texto grande en pantalla los primeros 3 segundos (así lo hacen las cuentas que más crecen) y como portada.</t>
        </is>
      </c>
    </row>
    <row r="13">
      <c r="B13" s="2" t="inlineStr">
        <is>
          <t>En el HACKEO, haz el ejercicio de verdad mientras lo dices: que te vean hacerlo.</t>
        </is>
      </c>
    </row>
    <row r="14">
      <c r="B14" s="2" t="inlineStr">
        <is>
          <t>Los [corchetes] de TU HISTORIA son para tu experiencia real. Si no tienes una, sáltate esa parte.</t>
        </is>
      </c>
    </row>
  </sheetData>
  <dataValidations count="1">
    <dataValidation sqref="D2:D7" showDropDown="0" showInputMessage="0" showErrorMessage="0" allowBlank="1" type="list">
      <formula1>"Sí,No"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6" customWidth="1" min="4" max="4"/>
    <col width="40" customWidth="1" min="5" max="5"/>
    <col width="100" customWidth="1" min="6" max="6"/>
  </cols>
  <sheetData>
    <row r="1" ht="40" customHeight="1">
      <c r="A1" s="4" t="inlineStr">
        <is>
          <t>Día</t>
        </is>
      </c>
      <c r="B1" s="4" t="inlineStr">
        <is>
          <t>Fecha</t>
        </is>
      </c>
      <c r="C1" s="4" t="inlineStr">
        <is>
          <t>Hora sugerida</t>
        </is>
      </c>
      <c r="D1" s="4" t="inlineStr">
        <is>
          <t>Plataforma</t>
        </is>
      </c>
      <c r="E1" s="4" t="inlineStr">
        <is>
          <t>Qué publicas</t>
        </is>
      </c>
      <c r="F1" s="4" t="inlineStr">
        <is>
          <t>Guion</t>
        </is>
      </c>
    </row>
    <row r="2" ht="120" customHeight="1">
      <c r="A2" s="5" t="inlineStr">
        <is>
          <t>Lunes</t>
        </is>
      </c>
      <c r="B2" s="5" t="inlineStr">
        <is>
          <t>2026-10-12</t>
        </is>
      </c>
      <c r="C2" s="5" t="inlineStr">
        <is>
          <t>07:00</t>
        </is>
      </c>
      <c r="D2" s="5" t="inlineStr">
        <is>
          <t>Spotify (podcast)</t>
        </is>
      </c>
      <c r="E2" s="5" t="inlineStr">
        <is>
          <t>Episodio del día (8–10 min): Dinero</t>
        </is>
      </c>
      <c r="F2" s="5" t="inlineStr">
        <is>
          <t>Intro: "Bienvenida a Las Fórmulas Cuánticas para Hackear tu Mente y la Matrix. Soy Mabel Soriano y hoy hablamos de dinero."
Pieza 1: 3 señales de que tu mente rechaza el dinero
Pieza 2: Di esto cada vez que pagues algo
Pieza 3: El cheque de 10 millones de jim carrey
Cierre: "Si este episodio te movió algo, compártelo con alguien que lo necesite. Lo que no se activa, no cambia."</t>
        </is>
      </c>
    </row>
    <row r="3" ht="120" customHeight="1">
      <c r="A3" s="9" t="inlineStr">
        <is>
          <t>Martes</t>
        </is>
      </c>
      <c r="B3" s="9" t="inlineStr">
        <is>
          <t>2026-10-13</t>
        </is>
      </c>
      <c r="C3" s="9" t="inlineStr">
        <is>
          <t>07:00</t>
        </is>
      </c>
      <c r="D3" s="9" t="inlineStr">
        <is>
          <t>Spotify (podcast)</t>
        </is>
      </c>
      <c r="E3" s="9" t="inlineStr">
        <is>
          <t>Episodio del día (8–10 min): Ansiedad y estrés</t>
        </is>
      </c>
      <c r="F3" s="9" t="inlineStr">
        <is>
          <t>Intro: "Bienvenida a Las Fórmulas Cuánticas para Hackear tu Mente y la Matrix. Soy Mabel Soriano y hoy hablamos de ansiedad y estrés."
Pieza 1: 3 señales de ansiedad que crees que son tu personalidad
Pieza 2: El suspiro que baja la ansiedad en 1 minuto
Pieza 3: 15 minutos de escritura que calman tu mente
Cierre: "Si este episodio te movió algo, compártelo con alguien que lo necesite. Lo que no se activa, no cambia."</t>
        </is>
      </c>
    </row>
    <row r="4" ht="120" customHeight="1">
      <c r="A4" s="12" t="inlineStr">
        <is>
          <t>Miércoles</t>
        </is>
      </c>
      <c r="B4" s="12" t="inlineStr">
        <is>
          <t>2026-10-14</t>
        </is>
      </c>
      <c r="C4" s="12" t="inlineStr">
        <is>
          <t>07:00</t>
        </is>
      </c>
      <c r="D4" s="12" t="inlineStr">
        <is>
          <t>Spotify (podcast)</t>
        </is>
      </c>
      <c r="E4" s="12" t="inlineStr">
        <is>
          <t>Episodio del día (8–10 min): Relaciones</t>
        </is>
      </c>
      <c r="F4" s="12" t="inlineStr">
        <is>
          <t>Intro: "Bienvenida a Las Fórmulas Cuánticas para Hackear tu Mente y la Matrix. Soy Mabel Soriano y hoy hablamos de relaciones."
Pieza 1: 3 señales de que no es amor, es enganche
Pieza 2: Corta el cordón con este decreto
Pieza 3: Beyoncé tenía un alter ego: sasha fierce
Cierre: "Si este episodio te movió algo, compártelo con alguien que lo necesite. Lo que no se activa, no cambia."</t>
        </is>
      </c>
    </row>
    <row r="5" ht="120" customHeight="1">
      <c r="A5" s="15" t="inlineStr">
        <is>
          <t>Jueves</t>
        </is>
      </c>
      <c r="B5" s="15" t="inlineStr">
        <is>
          <t>2026-10-15</t>
        </is>
      </c>
      <c r="C5" s="15" t="inlineStr">
        <is>
          <t>07:00</t>
        </is>
      </c>
      <c r="D5" s="15" t="inlineStr">
        <is>
          <t>Spotify (podcast)</t>
        </is>
      </c>
      <c r="E5" s="15" t="inlineStr">
        <is>
          <t>Episodio del día (8–10 min): Vacío y despertar</t>
        </is>
      </c>
      <c r="F5" s="15" t="inlineStr">
        <is>
          <t>Intro: "Bienvenida a Las Fórmulas Cuánticas para Hackear tu Mente y la Matrix. Soy Mabel Soriano y hoy hablamos de vacío y despertar."
Pieza 1: 3 señales de que estás despertando (y por qué duele)
Pieza 2: Ritual de 3 minutos para volver a ti
Pieza 3: Lo que steve jobs dijo sobre unir los puntos
Cierre: "Si este episodio te movió algo, compártelo con alguien que lo necesite. Lo que no se activa, no cambia."</t>
        </is>
      </c>
    </row>
    <row r="6" ht="120" customHeight="1">
      <c r="A6" s="18" t="inlineStr">
        <is>
          <t>Viernes</t>
        </is>
      </c>
      <c r="B6" s="18" t="inlineStr">
        <is>
          <t>2026-10-16</t>
        </is>
      </c>
      <c r="C6" s="18" t="inlineStr">
        <is>
          <t>07:00</t>
        </is>
      </c>
      <c r="D6" s="18" t="inlineStr">
        <is>
          <t>Spotify (podcast)</t>
        </is>
      </c>
      <c r="E6" s="18" t="inlineStr">
        <is>
          <t>Episodio del día (8–10 min): Energía y salud</t>
        </is>
      </c>
      <c r="F6" s="18" t="inlineStr">
        <is>
          <t>Intro: "Bienvenida a Las Fórmulas Cuánticas para Hackear tu Mente y la Matrix. Soy Mabel Soriano y hoy hablamos de energía y salud."
Pieza 1: 3 señales de que tu cuerpo no descansa aunque duermas
Pieza 2: Decreto para apagar la alerta antes de dormir
Pieza 3: La oms ya le puso nombre a tu agotamiento
Cierre: "Si este episodio te movió algo, compártelo con alguien que lo necesite. Lo que no se activa, no cambia."</t>
        </is>
      </c>
    </row>
    <row r="7" ht="120" customHeight="1">
      <c r="A7" s="21" t="inlineStr">
        <is>
          <t>Sábado</t>
        </is>
      </c>
      <c r="B7" s="21" t="inlineStr">
        <is>
          <t>2026-10-17</t>
        </is>
      </c>
      <c r="C7" s="21" t="inlineStr">
        <is>
          <t>07:00</t>
        </is>
      </c>
      <c r="D7" s="21" t="inlineStr">
        <is>
          <t>Spotify (podcast)</t>
        </is>
      </c>
      <c r="E7" s="21" t="inlineStr">
        <is>
          <t>Episodio del día (8–10 min): Metas y comunidad</t>
        </is>
      </c>
      <c r="F7" s="21" t="inlineStr">
        <is>
          <t>Intro: "Bienvenida a Las Fórmulas Cuánticas para Hackear tu Mente y la Matrix. Soy Mabel Soriano y hoy hablamos de metas y comunidad."
Pieza 1: 3 razones por las que abandonas tus metas
Pieza 2: Decreta tu meta conmigo en voz alta
Pieza 3: La pregunta que el papá de sara blakely le hacía
Cierre: "Si este episodio te movió algo, compártelo con alguien que lo necesite. Lo que no se activa, no cambia."</t>
        </is>
      </c>
    </row>
    <row r="8" ht="120" customHeight="1">
      <c r="A8" s="24" t="inlineStr">
        <is>
          <t>Domingo</t>
        </is>
      </c>
      <c r="B8" s="24" t="inlineStr">
        <is>
          <t>2026-10-18</t>
        </is>
      </c>
      <c r="C8" s="24" t="inlineStr">
        <is>
          <t>07:00</t>
        </is>
      </c>
      <c r="D8" s="24" t="inlineStr">
        <is>
          <t>Spotify (podcast)</t>
        </is>
      </c>
      <c r="E8" s="24" t="inlineStr">
        <is>
          <t>Episodio del día (8–10 min): Valor puro (sin venta)</t>
        </is>
      </c>
      <c r="F8" s="24" t="inlineStr">
        <is>
          <t>Intro: "Bienvenida a Las Fórmulas Cuánticas para Hackear tu Mente y la Matrix. Soy Mabel Soriano y hoy hablamos de valor puro (sin venta)."
Pieza 1: 3 preguntas para cerrar tu semana
Pieza 2: Mi tdah no era un déficit, era una antena
Pieza 3: Llave de luz: abre tu semana con este decreto
Cierre: "Si este episodio te movió algo, compártelo con alguien que lo necesite. Lo que no se activa, no cambia."</t>
        </is>
      </c>
    </row>
    <row r="9" ht="150" customHeight="1">
      <c r="A9" s="24" t="inlineStr">
        <is>
          <t>Domingo</t>
        </is>
      </c>
      <c r="B9" s="24" t="inlineStr">
        <is>
          <t>2026-10-18</t>
        </is>
      </c>
      <c r="C9" s="24" t="inlineStr">
        <is>
          <t>10:00</t>
        </is>
      </c>
      <c r="D9" s="24" t="inlineStr">
        <is>
          <t>YouTube (largo)</t>
        </is>
      </c>
      <c r="E9" s="25" t="inlineStr">
        <is>
          <t>Por qué repites la misma historia en el amor (y cómo cortar el enganche)</t>
        </is>
      </c>
      <c r="F9" s="24" t="inlineStr">
        <is>
          <t>1. Gancho (0:00–0:30): «No es que lo ames demasiado. Es que tu cerebro está enganchado.»
2. Las 3 señales del enganche (miércoles, pieza 1) y el experimento de Skinner, explicado simple.
3. Por qué eliges siempre el mismo tipo de persona: lo familiar no es lo sano. [Tu historia real.]
4. El ritual de corte de cordón, hecho en vivo con quien te ve (miércoles, pieza 2).
5. Tu alter ego en el amor: 3 cosas que hace tu versión fuerte (miércoles, pieza 3).
6. Cierre: «Comenta LIBRE si lo hiciste conmigo» + suscríbete. Sin venta.</t>
        </is>
      </c>
    </row>
    <row r="11">
      <c r="A11" s="31" t="inlineStr">
        <is>
          <t>Horas del podcast y del YouTube: sin dato propio todavía (s/d). Son sugerencia.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2" customWidth="1" min="3" max="3"/>
    <col width="26" customWidth="1" min="4" max="4"/>
    <col width="34" customWidth="1" min="5" max="5"/>
    <col width="30" customWidth="1" min="6" max="6"/>
    <col width="110" customWidth="1" min="7" max="7"/>
    <col width="10" customWidth="1" min="8" max="8"/>
  </cols>
  <sheetData>
    <row r="1" ht="40" customHeight="1">
      <c r="A1" s="4" t="inlineStr">
        <is>
          <t>Audio</t>
        </is>
      </c>
      <c r="B1" s="4" t="inlineStr">
        <is>
          <t>Tema</t>
        </is>
      </c>
      <c r="C1" s="4" t="inlineStr">
        <is>
          <t>Duración</t>
        </is>
      </c>
      <c r="D1" s="4" t="inlineStr">
        <is>
          <t>Fórmula</t>
        </is>
      </c>
      <c r="E1" s="4" t="inlineStr">
        <is>
          <t>Frase del día</t>
        </is>
      </c>
      <c r="F1" s="4" t="inlineStr">
        <is>
          <t>Ejercicio</t>
        </is>
      </c>
      <c r="G1" s="4" t="inlineStr">
        <is>
          <t>GUION COMPLETO (lo que lees)</t>
        </is>
      </c>
      <c r="H1" s="4" t="inlineStr">
        <is>
          <t>¿Grabado?</t>
        </is>
      </c>
    </row>
    <row r="2" ht="400" customHeight="1">
      <c r="A2" s="28" t="inlineStr">
        <is>
          <t>Audio 0</t>
        </is>
      </c>
      <c r="B2" s="29" t="inlineStr">
        <is>
          <t>Bienvenida</t>
        </is>
      </c>
      <c r="C2" s="29" t="inlineStr">
        <is>
          <t>5–6 min</t>
        </is>
      </c>
      <c r="D2" s="29" t="inlineStr">
        <is>
          <t>—</t>
        </is>
      </c>
      <c r="E2" s="29" t="inlineStr">
        <is>
          <t>—</t>
        </is>
      </c>
      <c r="F2" s="29" t="inlineStr">
        <is>
          <t>—</t>
        </is>
      </c>
      <c r="G2" s="29" t="inlineStr">
        <is>
          <t>Hola. Bienvenida a Querido Ex: 7 días para cortar el enganche y volver a ti.
Soy Mabel Soriano, y antes de empezar quiero decirte algo: si estás aquí, no es porque seas débil. Es porque una parte de ti ya está cansada de dar vueltas en lo mismo. Y esa parte es la que hoy decidió activarse. [pausa]
Seguramente ya lo intentaste todo. Te prometiste no volver a revisar sus historias… y las revisaste. Borraste su número… y te lo sabes de memoria. Le dijiste a tus amigas "ya lo superé"… y en la noche volviste a pensar en él. [pausa]
No estás loca. Estás enganchada. Y el enganche no se rompe con fuerza de voluntad. Se rompe entendiendo cómo funciona tu software neurológico y cortando, paso a paso, los canales por donde se te escapa la energía.
Eso es lo que vamos a hacer en estos 7 días.
Cómo funciona:
Cada día tienes un audio como este, de unos 10 minutos. Escúchalo con audífonos, en un lugar donde nadie te interrumpa. De preferencia en la noche, antes de dormir, o en la mañana antes de agarrar el celular.
Después del audio hay un ritual o ejercicio de 5 minutos. Está en tu PDF. No te lo saltes. El audio te hace entender; el ejercicio es lo que activa el cambio en tu cuerpo.
Y cada día tienes una frase. Escríbela donde la veas: en un post-it, en el fondo de pantalla, en el espejo.
Tres acuerdos contigo misma antes de empezar:
Uno: un día a la vez. No te adelantes. Cada día prepara el terreno del siguiente.
Dos: sin juicio. Si un día recaes y le escribes, o revisas su perfil, no empiezas de cero. Respiras, regresas al audio de ese día y sigues. Recaer no es fracasar; es información.
Tres: esto es para ti, no para que él regrese. Te lo digo con todo mi amor: este proceso no es para hacer que vuelva. Es para que tú vuelvas a ti. Y cuando tú vuelves a ti, eliges desde otro lugar. [pausa]
Algo importante:
Si estás en una relación donde hay violencia, golpes, amenazas, o te sientes en riesgo, este proceso no sustituye la ayuda profesional. Busca apoyo. En México puedes llamar a la Línea de la Vida: 800 911 2000, las 24 horas. Pedir ayuda también es soberanía. [pausa]
Y una cosa más:
Durante estos 7 días vas a sentir cosas. A veces alivio, a veces tristeza, a veces enojo. Todo está permitido. No vinimos a tapar lo que sientes; vinimos a transmutarlo.
Así que respira conmigo. [pausa]
Pon una mano en tu pecho. [pausa]
Y repite en silencio: "Hoy elijo volver a mí." [pausa]
"Hoy elijo volver a mí." [pausa]
"Hoy elijo volver a mí."
Hecho está.
Nos vemos en el Día 1. Ahí empezamos a entender por qué no puedes dejar de pensarle… y por qué no es tu culpa.
Te abrazo.</t>
        </is>
      </c>
      <c r="H2" s="8" t="inlineStr"/>
    </row>
    <row r="3" ht="400" customHeight="1">
      <c r="A3" s="28" t="inlineStr">
        <is>
          <t>Día 1</t>
        </is>
      </c>
      <c r="B3" s="29" t="inlineStr">
        <is>
          <t>No estás loca, estás enganchada</t>
        </is>
      </c>
      <c r="C3" s="29" t="inlineStr">
        <is>
          <t>10–11 min</t>
        </is>
      </c>
      <c r="D3" s="29" t="inlineStr">
        <is>
          <t>F</t>
        </is>
      </c>
      <c r="E3" s="29" t="inlineStr">
        <is>
          <t>"No es debilidad. Es un programa. Y los programas se cambian."</t>
        </is>
      </c>
      <c r="F3" s="29" t="inlineStr">
        <is>
          <t>La carta que no se envía.</t>
        </is>
      </c>
      <c r="G3" s="29" t="inlineStr">
        <is>
          <t>Bienvenida al Día 1.
Quiero empezar con una pregunta, y quiero que la contestes con honestidad, solo para ti: ¿cuántas veces pensaste en él hoy? [pausa]
No te juzgues por la respuesta. Solo obsérvala.
Ahora te voy a explicar por qué pasa esto, porque cuando entiendes el mecanismo, dejas de pelearte contigo.
Tu cerebro no extraña a la persona. Extraña la sensación.
Cuando estabas con él, tu cuerpo aprendió a asociar su mensaje, su voz, su atención, con una sensación de alivio. Cada "buenos días", cada "te extraño", era como una pequeña recompensa. Y cuando esa persona era intermitente, a veces sí y a veces no, el enganche se volvía más fuerte. Porque tu sistema nunca sabía cuándo llegaba la siguiente dosis. [pausa]
Por eso revisas el celular. Por eso ves sus historias. Por eso relees conversaciones viejas. No es que seas obsesiva. Es que tu software neurológico está buscando esa recompensa que aprendió.
Y aquí está lo importante: eso no es amor. Es un circuito. Y un circuito se puede interrumpir.
¿Qué es el enganche, en lenguaje BNQ?
Tu hardware biológico, tu cuerpo, guarda la memoria de esa relación: el olor, la voz, la forma en que te abrazaba. Tu software neurológico, tu mente, repite las mismas conversaciones y los mismos "y si…". Y tu energía, tu campo, sigue conectada a esa persona, como si hubiera un cable que no se ha desconectado.
Cuerpo, mente y energía están jalando hacia el mismo lado. Por eso cuesta tanto.
En estos 7 días vamos a trabajar los tres. Hoy empezamos por el primer paso: ponerle nombre a lo que sientes. [pausa]
Coherencia Energética Integral
La base de todo lo que hago es la Fórmula 01: Coherencia Energética Integral. Significa que lo que piensas, lo que sientes y lo que haces vayan en la misma dirección.
Ahorita, probablemente, tu mente dice "ya no quiero sufrir", tu corazón dice "lo extraño", y tus manos agarran el celular para ver si se conectó. Tres direcciones distintas. Eso es incoherencia. Y la incoherencia agota.
No vamos a forzar nada. Vamos a empezar por escuchar lo que sí está ahí.
Ejercicio del día: la carta que no se envía
Después de este audio, abre tu PDF. Vas a escribir una carta que empieza así: "Querido ex…"
Y vas a escribir todo. Lo que nunca le dijiste. Lo que te dolió. Lo que extrañas. Lo que te enoja. Lo que te avergüenza haber hecho. Sin filtro, sin ortografía, sin ser linda.
Esta carta no se envía. Nunca. Es para sacar del cuerpo lo que tu mente lleva días repitiendo.
Cuando termines, la doblas y la guardas. El Día 7 vamos a hacer algo con ella. [pausa]
Antes de irte, respira conmigo.
Cierra los ojos. [pausa]
Inhala en 4… 1, 2, 3, 4. [pausa]
Sostén en 4… 1, 2, 3, 4. [pausa]
Exhala en 6… 1, 2, 3, 4, 5, 6. [pausa]
Otra vez. Inhala… sostén… exhala largo. [pausa larga]
Una vez más. [pausa larga]
Pon tu mano en el pecho. Siente tu corazón. Ese corazón ha aguantado mucho. [pausa]
Repite en silencio:
"No es debilidad. Es un programa. Y los programas se cambian." [pausa]
"No es debilidad. Es un programa. Y los programas se cambian." [pausa]
"No es debilidad. Es un programa. Y los programas se cambian."
Hecho está.
Hoy diste el primer paso: dejaste de pelearte contigo. Escribe tu carta. Y mañana, en el Día 2, vamos a cortar el canal por donde más se te escapa la energía: tu celular.
Te abrazo.</t>
        </is>
      </c>
      <c r="H3" s="8" t="inlineStr"/>
    </row>
    <row r="4" ht="400" customHeight="1">
      <c r="A4" s="28" t="inlineStr">
        <is>
          <t>Día 2</t>
        </is>
      </c>
      <c r="B4" s="29" t="inlineStr">
        <is>
          <t>Corta el canal</t>
        </is>
      </c>
      <c r="C4" s="29" t="inlineStr">
        <is>
          <t>9–10 min</t>
        </is>
      </c>
      <c r="D4" s="29" t="inlineStr">
        <is>
          <t>F</t>
        </is>
      </c>
      <c r="E4" s="29" t="inlineStr">
        <is>
          <t>"Mi atención es mi energía. Hoy la recupero."</t>
        </is>
      </c>
      <c r="F4" s="29" t="inlineStr">
        <is>
          <t>Pausa digital de 7 días.</t>
        </is>
      </c>
      <c r="G4" s="29" t="inlineStr">
        <is>
          <t>Bienvenida al Día 2.
Antes de empezar, una pregunta: ¿escribiste tu carta? Si sí, te felicito. Eso que sacaste ya no lo cargas sola. Si todavía no, no pasa nada: hazla hoy, antes o después de este audio.
Hoy vamos a hablar de algo muy práctico. Algo que parece pequeño, pero que es donde más energía se te está yendo: tu celular.
Donde va tu atención, va tu energía.
Piensa en esto. Cada vez que abres su perfil, cada vez que ves si se conectó, cada vez que relees un chat, le estás mandando energía. Literal. Tu atención es energía, y la estás depositando en alguien que ya no está.
Y lo más injusto: mientras tú estás en tu casa revisando, drenada, él probablemente está en su vida, sin saber nada de esto. Tú alimentas el cable. Él ni siquiera lo siente. [pausa]
Por eso hoy no vamos a hacer meditación profunda. Hoy vamos a hacer algo más poderoso: cerrar la llave.
La pausa digital de 7 días
Escúchame bien: no te estoy pidiendo que lo bloquees para siempre ni que hagas una escena. Te estoy pidiendo 7 días de pausa. Solo lo que dura este proceso.
Esto es lo que vas a hacer, hoy mismo, después del audio:
Uno: silencia sus historias y publicaciones. En Instagram, TikTok, Facebook, WhatsApp. Silenciar, no bloquear. Él no se entera. Tú dejas de ver.
Dos: archiva el chat. Que no aparezca en tu pantalla principal. Si te sientes lista, bórralo. Si no, archívalo. Las dos cosas cuentan.
Tres: quita las fotos de tu galería principal. Pásalas a una carpeta oculta o a la nube. No tienes que borrarlas. Solo que no te salten cuando abres tu celular.
Cuatro: avísale a una persona de confianza. Dile: "Estoy haciendo 7 días para soltar. Si te escribo para preguntarte si le escribo, dime que no." Y ya. [pausa]
Si tienen hijos o asuntos pendientes: la comunicación queda solo para lo necesario. Mensajes cortos, claros, sobre los niños o el tema práctico. Nada de "¿cómo estás?". Nada de revisar si leyó.
¿Y si me da ansiedad?
Te va a dar. Es normal. Tu sistema va a buscar su dosis y no la va a encontrar. Vas a sentir el impulso de abrir el celular.
Cuando pase, haz esto: pon la mano en el pecho y di en voz baja: "Mi atención es mi energía. Hoy la recupero." Y cambia de actividad. Lávate la cara, sal a caminar, pon una canción. El impulso dura unos minutos. Si no lo alimentas, baja.
El Día 5 te voy a dar un protocolo completo de emergencia para esos momentos. Por ahora, esta frase es tu ancla. [pausa]
Respira conmigo.
Cierra los ojos. [pausa]
Imagina que de tu pecho sale un hilo de luz hacia tu celular. Por ese hilo se te está yendo energía cada vez que lo abres para buscarlo. [pausa]
Ahora, imagina que ese hilo regresa hacia ti. Que la luz vuelve a tu pecho. [pausa]
Inhala… y siente cómo esa energía regresa a tu cuerpo. [pausa]
Exhala… y suelta el impulso de buscar. [pausa]
Otra vez. Inhala, recuperas. Exhala, sueltas. [pausa larga]
Repite en silencio:
"Mi atención es mi energía. Hoy la recupero." [pausa]
"Mi atención es mi energía. Hoy la recupero." [pausa]
"Mi atención es mi energía. Hoy la recupero."
Hecho está.
Ahora ve y haz tu pausa digital. Son 10 minutos. Es el paso más práctico de todo el proceso, y el que más vas a notar.
Mañana, en el Día 3, vamos a trabajar el cable que no se ve: el cordón energético. Te veo ahí.</t>
        </is>
      </c>
      <c r="H4" s="8" t="inlineStr"/>
    </row>
    <row r="5" ht="400" customHeight="1">
      <c r="A5" s="28" t="inlineStr">
        <is>
          <t>Día 3</t>
        </is>
      </c>
      <c r="B5" s="29" t="inlineStr">
        <is>
          <t>El cordón</t>
        </is>
      </c>
      <c r="C5" s="29" t="inlineStr">
        <is>
          <t>12 min</t>
        </is>
      </c>
      <c r="D5" s="29" t="inlineStr">
        <is>
          <t>F</t>
        </is>
      </c>
      <c r="E5" s="29" t="inlineStr">
        <is>
          <t>"Te devuelvo lo que es tuyo. Recupero lo que es mío."</t>
        </is>
      </c>
      <c r="F5" s="29" t="inlineStr">
        <is>
          <t>Ritual de corte de cordón con vela (después del audio o al día siguiente).</t>
        </is>
      </c>
      <c r="G5" s="29" t="inlineStr">
        <is>
          <t>Bienvenida al Día 3.
¿Cómo te fue con tu pausa digital? Si lo hiciste, hoy tu celular ya no es el mismo campo de batalla. Si recaíste y revisaste algo, respira. No empiezas de cero. Hoy es un buen día para volver.
Hoy vamos a trabajar lo que no se ve. Ayer cortamos el canal del celular. Hoy vamos a trabajar el cordón energético.
¿Qué es un cordón?
Cuando compartes tu vida con alguien, tu tiempo, tu cuerpo, tus secretos, tus planes, se crea un lazo. En muchas tradiciones espirituales a ese lazo se le llama cordón. Es la conexión energética que sigue ahí aunque la relación ya terminó.
Por eso a veces sientes que "lo sientes" aunque no lo veas. Por eso piensas en él justo cuando él publica algo. No es casualidad: es que todavía hay un canal abierto. [pausa]
Hoy no vamos a cortar con odio. Vamos a cortar con amor. Porque lo que se corta con odio, se vuelve a amarrar. Lo que se suelta con gratitud, se libera.
Busca un lugar cómodo. Siéntate o recuéstate. Si estás manejando, detén este audio y escúchalo después.
Meditación de corte de cordón
Cierra los ojos. [pausa]
Respira profundo… inhala por la nariz… y exhala por la boca, despacio. [pausa]
Otra vez. Inhala… exhala. [pausa]
Siente el peso de tu cuerpo. Tus pies. Tus piernas. Tu espalda. Tus hombros… suéltalos. [pausa]
Ahora lleva tu atención al centro de tu frente, entre las cejas. Ahí vive tu glándula pineal, tu antena. Imagina una luz suave ahí, que se enciende. [pausa]
Baja esa luz hacia tu corazón. Siente cómo tu frente y tu corazón se conectan con un hilo de luz. Mente y corazón, juntos. [pausa larga]
Ahora imagina que frente a ti, a unos metros, aparece él. No tienes que verlo con detalle. Solo siente su presencia. [pausa]
Observa. Entre tú y él hay uno o varios cordones. Puede que salgan de tu pecho, de tu estómago, de tu garganta. Solo obsérvalos. ¿De qué color son? ¿Son delgados o gruesos? [pausa larga]
No pasa nada. Estás a salvo. Esto es solo energía que vamos a regresar a su lugar.
Ahora, mírale y dile en tu mente:
"Gracias por lo que aprendí contigo." [pausa]
"Te devuelvo lo que es tuyo." [pausa]
Imagina que todo lo que él dejó en ti, sus palabras, sus promesas, su energía, regresa a él por el cordón, como una luz que se va. [pausa larga]
"Recupero lo que es mío." [pausa]
Ahora imagina que todo lo que tú dejaste en él, tu tiempo, tu ilusión, tu energía, regresa a ti. Vuelve a tu pecho. Te llenas de tu propia luz. [pausa larga]
Ahora, en tu mano derecha, aparece una espada de luz. Es tuya. Es tu soberanía energética. [pausa]
Con amor, con calma, sin rabia… vas a cortar los cordones. Uno por uno.
Primero el del pecho. Corta. [pausa]
El del estómago. Corta. [pausa]
El de la garganta. Corta. [pausa]
Cualquier otro que veas. Corta. [pausa larga]
Observa cómo los extremos de los cordones se disuelven en luz. Del lado de él, y del lado tuyo. [pausa]
Pon tu mano donde estaba cada cordón y sella esa zona con luz dorada. Como si pusieras una venda de luz. [pausa larga]
Mira cómo él se aleja. Se va por su camino. Tú te quedas en el tuyo. Sin rencor. En paz. [pausa larga]
Repite conmigo:
"Te devuelvo lo que es tuyo. Recupero lo que es mío." [pausa]
"Te devuelvo lo que es tuyo. Recupero lo que es mío." [pausa]
"Te devuelvo lo que es tuyo. Recupero lo que es mío." [pausa]
Espada de luz, espada de luz, espada de luz.
Hecho está. [pausa]
Respira profundo. Mueve suavemente tus manos, tus pies. Cuando estés lista, abre los ojos. [pausa]
Tu ritual con vela
En tu PDF está el ritual físico: una vela blanca, un hilo o listón, y el mismo decreto. Puedes hacerlo hoy o mañana. El cuerpo necesita también el acto físico para cerrar lo que la mente ya entendió.
Si hoy te sientes cansada o sensible, es normal. Toma agua, descansa, duérmete temprano.
Mañana, en el Día 4, vamos a ver algo que te va a abrir los ojos: por qué te enganchaste justo con él. Spoiler: no era él. Era el patrón.
Te abrazo.</t>
        </is>
      </c>
      <c r="H5" s="8" t="inlineStr"/>
    </row>
    <row r="6" ht="400" customHeight="1">
      <c r="A6" s="28" t="inlineStr">
        <is>
          <t>Día 4</t>
        </is>
      </c>
      <c r="B6" s="29" t="inlineStr">
        <is>
          <t>No era él, era el patrón</t>
        </is>
      </c>
      <c r="C6" s="29" t="inlineStr">
        <is>
          <t>10–11 min</t>
        </is>
      </c>
      <c r="D6" s="29" t="inlineStr">
        <is>
          <t>F</t>
        </is>
      </c>
      <c r="E6" s="29" t="inlineStr">
        <is>
          <t>"Veo el patrón. Ya no soy el patrón."</t>
        </is>
      </c>
      <c r="F6" s="29" t="inlineStr">
        <is>
          <t>"¿A quién me recordaba?" (3 preguntas por escrito).</t>
        </is>
      </c>
      <c r="G6" s="29" t="inlineStr">
        <is>
          <t>Bienvenida al Día 4. Ya vas a la mitad.
¿Cómo te sentiste después del corte de cordón? Hay quien siente ligereza, hay quien siente tristeza, hay quien no siente nada especial. Las tres respuestas están bien. La energía se acomoda a su ritmo.
Hoy vamos a hacer algo distinto. Hoy no vamos a hablar de él. Vamos a hablar de ti. Porque hay una pregunta que lo cambia todo: ¿por qué con él?
Tu subconsciente elige antes que tú
Hay algo que casi nadie te explica: la mayor parte de lo que haces en el día lo haces en automático, desde tu subconsciente. Y tu subconsciente aprendió qué es el amor mucho antes de que tuvieras tu primera pareja. Lo aprendió viendo a tus papás, a tu familia, a las personas que te cuidaron… o que no te cuidaron. [pausa]
Si aprendiste que el amor era esperar, vas a sentir "química" con quien te hace esperar.
Si aprendiste que el amor había que ganárselo, vas a sentir "química" con quien te hace demostrar que vales.
Si aprendiste que el amor se iba, vas a sentir "química" con quien nunca termina de quedarse.
Y a la persona que te trata bien, que te escribe, que es clara… le vas a decir "es que no siento nada". [pausa]
No es que tengas mal gusto. Es que tu software neurológico reconoce como "amor" lo que le es familiar. Y lo familiar no siempre es lo sano.
Entonces, ¿qué fue él?
Él fue un espejo. Te mostró, con mucha claridad, un programa que ya estaba en ti. Por eso dolió tanto. No solo perdiste a una persona: se activó una herida vieja.
Y esto es una buena noticia. Porque si el patrón está en ti, tú puedes cambiarlo. No depende de que él cambie, ni de que llegue alguien "diferente". Si no cambias el programa, la siguiente persona va a tener otra cara… y la misma historia.
Lo que sí se puede hacer: verlo. Lo que se ve, deja de manejarte en automático. [pausa]
Ejercicio del día: "¿A quién me recordaba?"
Después del audio, abre tu PDF y contesta estas 3 preguntas por escrito. Escribe lo primero que te llegue, sin pensarlo mucho:
Pregunta 1: ¿Qué sentía yo con él que ya había sentido antes, en mi infancia o en otra relación? Por ejemplo: esperar, rogar, no ser suficiente, tener que adivinar, sentirme invisible.
Pregunta 2: ¿A quién de mi historia me recordaba su forma de tratarme? Puede ser tu papá, tu mamá, un hermano, una expareja. No para culpar a nadie: solo para ver.
Pregunta 3: ¿Qué hacía yo para que me quisiera? Por ejemplo: aguantar, complacer, callarme, estar siempre disponible.
Cuando termines, lee tus respuestas en voz alta. Y al final escribe: "Veo el patrón. Ya no soy el patrón." [pausa]
Respira conmigo.
Cierra los ojos. [pausa]
Imagina a la niña que fuiste. Tal vez de 5, 6, 7 años. Mírala. ¿Cómo está? ¿Qué necesitaba en ese momento? [pausa larga]
Acércate a ella. Agáchate a su altura. Y dile:
"No era tu culpa. Tú no tenías que ganarte el amor." [pausa larga]
"Ahora yo te cuido." [pausa larga]
Abrázala. Siente cómo se calma. Siente cómo tú también te calmas. [pausa larga]
Respira. Inhala… exhala. [pausa]
Repite en silencio:
"Veo el patrón. Ya no soy el patrón." [pausa]
"Veo el patrón. Ya no soy el patrón." [pausa]
"Veo el patrón. Ya no soy el patrón."
Hecho está.
Si este ejercicio movió mucho, es normal. Si sientes que tocaste algo profundo que necesita más acompañamiento, eso también es información valiosa. Ir a la raíz de estos patrones es justo lo que trabajo en mis niveles.
Mañana, en el Día 5, te doy tu herramienta de emergencia: qué hacer en esos 3 minutos en los que sientes que le vas a escribir.
Te abrazo.</t>
        </is>
      </c>
      <c r="H6" s="8" t="inlineStr"/>
    </row>
    <row r="7" ht="400" customHeight="1">
      <c r="A7" s="28" t="inlineStr">
        <is>
          <t>Día 5</t>
        </is>
      </c>
      <c r="B7" s="29" t="inlineStr">
        <is>
          <t>El vacío que deja</t>
        </is>
      </c>
      <c r="C7" s="29" t="inlineStr">
        <is>
          <t>10 min</t>
        </is>
      </c>
      <c r="D7" s="29" t="inlineStr">
        <is>
          <t>F</t>
        </is>
      </c>
      <c r="E7" s="29" t="inlineStr">
        <is>
          <t>"Este impulso pasa. Yo me quedo."</t>
        </is>
      </c>
      <c r="F7" s="29" t="inlineStr">
        <is>
          <t>Protocolo de emergencia de 3 minutos (tarjeta para guardar en el celular).</t>
        </is>
      </c>
      <c r="G7" s="29" t="inlineStr">
        <is>
          <t>Bienvenida al Día 5.
Ayer viste el patrón. Hoy vamos a trabajar el momento más difícil de todo este proceso: ese momento en el que tienes el celular en la mano y estás a punto de escribirle.
Lo conoces. Es de noche, o es domingo, o viste algo que te lo recordó. Y de repente sientes un hueco en el estómago, un vacío, una urgencia. Y tu mente empieza: "solo le pregunto cómo está", "solo le mando una canción", "solo para cerrar bien". [pausa]
Hoy te voy a dar una herramienta para ese momento.
¿Qué es ese vacío?
Ese vacío no es amor. Es tu sistema nervioso en alerta. Cuando algo que te daba seguridad desaparece, tu cuerpo lo vive como una amenaza. Se acelera el corazón, se aprieta el pecho, sientes urgencia. Tu cuerpo te dice "haz algo ya".
Y la acción que tu cuerpo conoce para calmarse es… buscarlo.
Pero escribirle no calma el vacío. Lo alimenta. Porque si te contesta, tu sistema aprende que el vacío se calma con él. Y si no te contesta, el vacío se hace más grande. [pausa]
La salida es enseñarle a tu cuerpo otra forma de calmarse. Eso es coherencia: que tu mente, tu corazón y tu cuerpo regresen a ti en lugar de ir hacia él.
Protocolo de emergencia de 3 minutos
Esto es lo que vas a hacer cada vez que sientas el impulso. Guárdalo en tu celular. Está en tu PDF como tarjeta.
Paso 1 — Suelta el celular. (10 segundos)
Ponlo boca abajo, lejos de tu mano. No tienes que decidir nada todavía. Solo suéltalo.
Paso 2 — Respiración 4-4-6. (1 minuto)
Inhala en 4, sostén en 4, exhala en 6. Cinco veces. La exhalación larga le dice a tu cuerpo que no hay peligro.
Paso 3 — Mano en el pecho y nombra lo que sientes. (30 segundos)
"Siento ansiedad." "Siento tristeza." "Siento miedo a estar sola." Solo nombrarlo baja la intensidad.
Paso 4 — Tu frase gatillo. (30 segundos)
Tres veces: "Este impulso pasa. Yo me quedo."
Paso 5 — Cambia de estado. (1 minuto)
Muévete. Lávate la cara con agua fría, sal al patio, pon una canción y baila, escribe en tu libreta lo que le querías decir. Cualquier cosa que saque la energía del cuerpo.
Después de esos 3 minutos, si todavía quieres escribirle… espera 24 horas. Si mañana sigues pensando que es buena idea, platícalo con tu persona de confianza. Casi siempre, al día siguiente, ya no hace falta. [pausa]
Practiquémoslo juntas ahora.
Imagina que ahorita tienes el impulso. Siente dónde vive en tu cuerpo. [pausa]
Suelta lo que tengas en las manos. [pausa]
Inhala… 1, 2, 3, 4. Sostén… 1, 2, 3, 4. Exhala… 1, 2, 3, 4, 5, 6. [pausa]
Otra vez. [pausa larga]
Otra vez. [pausa larga]
Mano en el pecho. Nombra lo que sientes, en silencio. [pausa larga]
Ahora repite:
"Este impulso pasa. Yo me quedo." [pausa]
"Este impulso pasa. Yo me quedo." [pausa]
"Este impulso pasa. Yo me quedo." [pausa]
Hielo azul, hielo azul, hielo azul. Que se enfríe la urgencia.
Hecho está.
¿Notas la diferencia? No desapareció todo. Pero bajó. Y eso es lo que entrena tu cuerpo: cada vez que el impulso llega y no lo sigues, el circuito se debilita un poquito. Cada vez es más fácil.
Mañana, en el Día 6, dejamos de hablar de él para siempre en este proceso. Vamos a ir a lo más bonito: volver a ti.
Te abrazo.</t>
        </is>
      </c>
      <c r="H7" s="8" t="inlineStr"/>
    </row>
    <row r="8" ht="400" customHeight="1">
      <c r="A8" s="28" t="inlineStr">
        <is>
          <t>Día 6</t>
        </is>
      </c>
      <c r="B8" s="29" t="inlineStr">
        <is>
          <t>Vuelve a ti</t>
        </is>
      </c>
      <c r="C8" s="29" t="inlineStr">
        <is>
          <t>10–11 min</t>
        </is>
      </c>
      <c r="D8" s="29" t="inlineStr">
        <is>
          <t>F</t>
        </is>
      </c>
      <c r="E8" s="29" t="inlineStr">
        <is>
          <t>"Me elijo. Vuelvo a mí."</t>
        </is>
      </c>
      <c r="F8" s="29" t="inlineStr">
        <is>
          <t>Lista de 10 cosas que dejaste de hacer + elegir 1 para hoy.</t>
        </is>
      </c>
      <c r="G8" s="29" t="inlineStr">
        <is>
          <t>Bienvenida al Día 6.
Llevas cinco días. Entendiste el enganche, cerraste el canal, cortaste el cordón, viste el patrón y aprendiste a sostenerte en el impulso. Eso es mucho. De verdad, date crédito. [pausa]
Hoy no vamos a hablar de él. Hoy vamos a hablar de alguien que extrañas más de lo que crees: tú.
¿Dónde te quedaste?
Cuando estamos en una relación que nos engancha, poco a poco nos vamos haciendo chiquitas. Dejamos de ver a nuestras amigas porque él se molestaba, o porque esperábamos su mensaje. Dejamos de hacer ejercicio, de pintar, de bailar, de leer. Dejamos de vestirnos como nos gustaba. Dejamos de decir lo que pensábamos para no pelear.
Y un día te miras al espejo y no sabes bien quién eres sin esa persona. [pausa]
Esa sensación de vacío que trabajamos ayer no es solo porque se fue él. Es porque tú te fuiste primero. Te fuiste de ti para quedarte con él.
Hoy vamos a regresar.
Tu Yo Superior te está esperando
En la Fórmula 07 trabajamos la conexión con tu Yo Superior: la versión de ti que no está en modo supervivencia, que sabe quién es, que no necesita que nadie la elija para saber que vale.
Esa versión no es una fantasía. Ya existe. La has visto en momentos en que te sentiste libre, segura, contenta sin razón. Solo hay que volver a encontrarla.
Meditación: el encuentro
Cierra los ojos. [pausa]
Respira profundo. Inhala… exhala. [pausa]
Imagina que estás caminando por un lugar que te da paz. Puede ser una playa, un bosque, un jardín. Siente el suelo bajo tus pies. [pausa larga]
A lo lejos ves a una mujer. Camina tranquila. Se ve ligera, segura, radiante. Conforme se acerca, te das cuenta: eres tú. Eres tú en tu mejor versión. [pausa larga]
Obsérvala. ¿Cómo se ve? ¿Cómo está vestida? ¿Cómo camina? ¿Cómo te mira? [pausa larga]
Ella se detiene frente a ti. Te sonríe. Y te dice: "Te estaba esperando." [pausa larga]
Pregúntale: "¿Qué necesito recuperar de mí?" Y escucha lo primero que te diga. Una palabra, una imagen, una sensación. [pausa larga]
Ahora ella te toma de las manos. Y poco a poco, se funde contigo. Su luz entra en tu pecho. Su seguridad entra en tu cuerpo. Su calma entra en tu mente. [pausa larga]
Ya no está afuera. Está en ti. Siempre estuvo. [pausa]
Repite en silencio:
"Me elijo. Vuelvo a mí." [pausa]
"Me elijo. Vuelvo a mí." [pausa]
"Me elijo. Vuelvo a mí." [pausa]
Llave de luz, llave de luz, llave de luz. Se abre la puerta de regreso a ti.
Hecho está.
Respira. Cuando estés lista, abre los ojos. [pausa]
Ejercicio del día
Abre tu PDF y escribe una lista de 10 cosas que dejaste de hacer mientras estabas en esa relación o después de que terminó. Cosas que te hacían sentir tú. Grandes o pequeñas: ir al cine sola, cantar en el coche, ver a tu amiga, usar ese vestido, cocinar algo rico solo para ti.
Después elige una. Solo una. Y hazla hoy, o mañana a más tardar.
No es un premio. Es una declaración: "Aquí estoy de vuelta."
Mañana es el Día 7, el cierre. Ten a la mano la carta que escribiste el Día 1. Vamos a cerrar el ciclo y a decidir qué eliges a partir de ahora.
Te abrazo.</t>
        </is>
      </c>
      <c r="H8" s="8" t="inlineStr"/>
    </row>
    <row r="9" ht="400" customHeight="1">
      <c r="A9" s="28" t="inlineStr">
        <is>
          <t>Día 7</t>
        </is>
      </c>
      <c r="B9" s="29" t="inlineStr">
        <is>
          <t>Lo que sí eliges</t>
        </is>
      </c>
      <c r="C9" s="29" t="inlineStr">
        <is>
          <t>11–12 min</t>
        </is>
      </c>
      <c r="D9" s="29" t="inlineStr">
        <is>
          <t>F</t>
        </is>
      </c>
      <c r="E9" s="29" t="inlineStr">
        <is>
          <t>"Lo que no se activa, no cambia. Hoy me activo."</t>
        </is>
      </c>
      <c r="F9" s="29" t="inlineStr">
        <is>
          <t>Carta de cierre (se quema o se guarda) + decreto final.</t>
        </is>
      </c>
      <c r="G9" s="29" t="inlineStr">
        <is>
          <t>Bienvenida al Día 7. El último.
Antes de empezar, quiero que te detengas un momento y mires hacia atrás. Hace una semana estabas en otro lugar. Tal vez revisabas su perfil varias veces al día. Tal vez no podías dormir. Tal vez sentías que esto no iba a pasar nunca. [pausa]
Hoy, aunque todavía duela un poco, ya no eres la misma. Entendiste el enganche. Cerraste el canal. Cortaste el cordón. Viste el patrón. Aprendiste a sostenerte. Y volviste a ti.
Eso es una activación. Y lo hiciste tú.
Hoy cerramos el ciclo
Ten a la mano la carta que escribiste el Día 1, la que empezaba con "Querido ex…". [pausa]
Léela en silencio. Despacio. [pausa larga]
¿Notas algo distinto? Tal vez algunas frases ya no te duelen igual. Tal vez otras sí. Todo está bien. Esa carta fue la fotografía de dónde estabas. Hoy ya no estás ahí.
Tu carta de cierre
Ahora, en una hoja nueva, vas a escribir una carta de cierre. Esta es corta. Tiene tres partes:
Primera parte — Gracias. "Gracias por…" Lo que aprendiste, lo que viviste, lo que te mostró de ti. Aunque haya dolido.
Segunda parte — Te suelto. "Te suelto y te dejo ir a tu camino. Yo me quedo en el mío."
Tercera parte — Me elijo. "A partir de hoy elijo…" Y aquí escribes qué tipo de vínculo aceptas desde hoy. Sé concreta. Por ejemplo: "Elijo a alguien que sea claro conmigo." "Elijo no rogar." "Elijo relaciones donde no tenga que adivinar." "Elijo primero mi paz."
Pausa este audio si necesitas tiempo para escribirla. Aquí te espero. [pausa larga]
Ritual de cierre
Ahora tienes dos cartas. La del Día 1 representa lo que fue. La de cierre representa lo que eliges.
Con la del Día 1 puedes hacer dos cosas: quemarla con cuidado en un recipiente seguro, o romperla en pedacitos y tirarla. Lo que se quema o se rompe, se transmuta. Es tu forma de decirle a tu cuerpo: "esto ya terminó."
La carta de cierre la guardas. En tu buró, en tu libreta, donde la puedas leer cuando la necesites.
Si vas a quemar, prende tu vela. Hazlo con calma y con cuidado. [pausa larga]
Decreto final
Pon tus manos en el pecho. Cierra los ojos. [pausa]
Respira profundo… inhala… exhala. [pausa]
Siente tu corazón. Siente tu cuerpo. Siente que estás aquí, completa. [pausa]
Repite conmigo, en voz alta si puedes:
"Hoy cierro este ciclo con amor." [pausa]
"Lo que fue, fue. Lo agradezco y lo suelto." [pausa]
"Mi energía es mía. Mi atención es mía. Mi vida es mía." [pausa]
"Elijo vínculos claros, recíprocos y en paz." [pausa]
"Me elijo. Vuelvo a mí." [pausa]
"Lo que no se activa, no cambia. Hoy me activo." [pausa]
Hecho está. Hecho está. Hecho está. [pausa larga]
Respira. Abre los ojos.
Lo que sigue
Escúchame bien: soltar no es una línea recta. Habrá días buenos y días en que te acuerdes. Eso no significa que no funcionó. Significa que eres humana. Cuando pase, regresa al audio que necesites: el Día 3 si sientes la conexión, el Día 5 si te gana el impulso, el Día 6 si te pierdes de ti.
Y si en estos días te diste cuenta de que hay un patrón más profundo, algo que viene de mucho antes de él, ese es el trabajo que hacemos en el Nivel 1. Ahí vamos a la raíz. Cuando estés lista, ahí te espero.
Gracias por elegirte estos 7 días. De verdad, gracias.
Querido ex… gracias. Y adiós.
Te abrazo fuerte.</t>
        </is>
      </c>
      <c r="H9" s="8" t="inlineStr"/>
    </row>
  </sheetData>
  <dataValidations count="1">
    <dataValidation sqref="H2:H9" showDropDown="0" showInputMessage="0" showErrorMessage="0" allowBlank="1" type="list">
      <formula1>"Sí,No"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87"/>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22" customWidth="1" min="3" max="3"/>
    <col width="11" customWidth="1" min="4" max="4"/>
    <col width="30" customWidth="1" min="5" max="5"/>
    <col width="55" customWidth="1" min="6" max="6"/>
    <col width="22" customWidth="1" min="7" max="7"/>
    <col width="24" customWidth="1" min="8" max="8"/>
    <col width="28" customWidth="1" min="9" max="9"/>
    <col width="10" customWidth="1" min="10" max="10"/>
    <col width="18" customWidth="1" min="11" max="11"/>
    <col width="26" customWidth="1" min="12" max="12"/>
    <col width="12" customWidth="1" min="13" max="13"/>
    <col width="13" customWidth="1" min="14" max="14"/>
    <col width="14" customWidth="1" min="15" max="15"/>
    <col width="38" customWidth="1" min="16" max="16"/>
    <col width="40" customWidth="1" min="17" max="17"/>
  </cols>
  <sheetData>
    <row r="1" ht="36" customHeight="1">
      <c r="A1" s="4" t="inlineStr">
        <is>
          <t>#</t>
        </is>
      </c>
      <c r="B1" s="4" t="inlineStr">
        <is>
          <t>Red</t>
        </is>
      </c>
      <c r="C1" s="4" t="inlineStr">
        <is>
          <t>Cuenta</t>
        </is>
      </c>
      <c r="D1" s="4" t="inlineStr">
        <is>
          <t>Fecha</t>
        </is>
      </c>
      <c r="E1" s="4" t="inlineStr">
        <is>
          <t>PIEZA (link)</t>
        </is>
      </c>
      <c r="F1" s="4" t="inlineStr">
        <is>
          <t>HOOK (primera frase)</t>
        </is>
      </c>
      <c r="G1" s="4" t="inlineStr">
        <is>
          <t>TIPO DE HOOK</t>
        </is>
      </c>
      <c r="H1" s="4" t="inlineStr">
        <is>
          <t>TEMA</t>
        </is>
      </c>
      <c r="I1" s="4" t="inlineStr">
        <is>
          <t>FORMATO</t>
        </is>
      </c>
      <c r="J1" s="4" t="inlineStr">
        <is>
          <t>DURACIÓN</t>
        </is>
      </c>
      <c r="K1" s="4" t="inlineStr">
        <is>
          <t>EMOCIÓN</t>
        </is>
      </c>
      <c r="L1" s="4" t="inlineStr">
        <is>
          <t>CTA</t>
        </is>
      </c>
      <c r="M1" s="4" t="inlineStr">
        <is>
          <t>Vistas</t>
        </is>
      </c>
      <c r="N1" s="4" t="inlineStr">
        <is>
          <t>Mediana de la cuenta</t>
        </is>
      </c>
      <c r="O1" s="4" t="inlineStr">
        <is>
          <t>RENDIMIENTO (vistas ÷ mediana)</t>
        </is>
      </c>
      <c r="P1" s="4" t="inlineStr">
        <is>
          <t>PATRÓN</t>
        </is>
      </c>
      <c r="Q1" s="4" t="inlineStr">
        <is>
          <t>Archivo de la transcripción</t>
        </is>
      </c>
    </row>
    <row r="2">
      <c r="A2" s="29" t="n">
        <v>1</v>
      </c>
      <c r="B2" s="29" t="inlineStr">
        <is>
          <t>Instagram</t>
        </is>
      </c>
      <c r="C2" s="29" t="inlineStr">
        <is>
          <t>@danielacorreaup</t>
        </is>
      </c>
      <c r="D2" s="29" t="inlineStr">
        <is>
          <t>2026-07-25</t>
        </is>
      </c>
      <c r="E2" s="32" t="inlineStr">
        <is>
          <t>https://www.instagram.com/p/DbMptmRtnU5/</t>
        </is>
      </c>
      <c r="F2" s="29" t="inlineStr">
        <is>
          <t>Las personas con TDAH no tienen un déficit de atención, tienen un exceso de atención para lo que realmente les importa.</t>
        </is>
      </c>
      <c r="G2" s="29" t="inlineStr">
        <is>
          <t>G1 · Reencuadre</t>
        </is>
      </c>
      <c r="H2" s="29" t="inlineStr">
        <is>
          <t>TDAH / neurodivergencia</t>
        </is>
      </c>
      <c r="I2" s="29" t="inlineStr">
        <is>
          <t>Cara a cámara</t>
        </is>
      </c>
      <c r="J2" s="29" t="inlineStr">
        <is>
          <t>71 s</t>
        </is>
      </c>
      <c r="K2" s="29" t="inlineStr">
        <is>
          <t>Sorpresa / alivio</t>
        </is>
      </c>
      <c r="L2" s="29" t="inlineStr">
        <is>
          <t>Ninguno</t>
        </is>
      </c>
      <c r="M2" s="33" t="n">
        <v>2500753</v>
      </c>
      <c r="N2" s="33" t="n">
        <v>4071.5</v>
      </c>
      <c r="O2" s="34">
        <f>IFERROR(M2/N2,"s/d")</f>
        <v/>
      </c>
      <c r="P2" s="29" t="inlineStr">
        <is>
          <t>P1 · Romper creencia + nombre propio al problema</t>
        </is>
      </c>
      <c r="Q2" s="29" t="inlineStr">
        <is>
          <t>transcripciones/instagram-2026-07-25-esta-es-la-ventaja-de-las.md</t>
        </is>
      </c>
    </row>
    <row r="3">
      <c r="A3" s="29" t="n">
        <v>2</v>
      </c>
      <c r="B3" s="29" t="inlineStr">
        <is>
          <t>Instagram</t>
        </is>
      </c>
      <c r="C3" s="29" t="inlineStr">
        <is>
          <t>@danielacorreaup</t>
        </is>
      </c>
      <c r="D3" s="29" t="inlineStr">
        <is>
          <t>2026-09-17</t>
        </is>
      </c>
      <c r="E3" s="32" t="inlineStr">
        <is>
          <t>https://www.instagram.com/p/DdXi3VJtZo0/</t>
        </is>
      </c>
      <c r="F3" s="29" t="inlineStr">
        <is>
          <t>Odian los ruidos fuertes, pero pueden escuchar la misma canción durante cinco horas.</t>
        </is>
      </c>
      <c r="G3" s="29" t="inlineStr">
        <is>
          <t>G5 · Espejo</t>
        </is>
      </c>
      <c r="H3" s="29" t="inlineStr">
        <is>
          <t>TDAH / neurodivergencia</t>
        </is>
      </c>
      <c r="I3" s="29" t="inlineStr">
        <is>
          <t>Cara a cámara rápido</t>
        </is>
      </c>
      <c r="J3" s="29" t="inlineStr">
        <is>
          <t>34 s</t>
        </is>
      </c>
      <c r="K3" s="29" t="inlineStr">
        <is>
          <t>Identificación</t>
        </is>
      </c>
      <c r="L3" s="29" t="inlineStr">
        <is>
          <t>Ninguno</t>
        </is>
      </c>
      <c r="M3" s="33" t="n">
        <v>2166685</v>
      </c>
      <c r="N3" s="33" t="n">
        <v>4071.5</v>
      </c>
      <c r="O3" s="34">
        <f>IFERROR(M3/N3,"s/d")</f>
        <v/>
      </c>
      <c r="P3" s="29" t="inlineStr">
        <is>
          <t>P5 · Lista o espejo de señales</t>
        </is>
      </c>
      <c r="Q3" s="29" t="inlineStr">
        <is>
          <t>transcripciones/instagram-2026-09-17-contradicciones-de-personas-neurodivergentes.md</t>
        </is>
      </c>
    </row>
    <row r="4">
      <c r="A4" s="9" t="n">
        <v>3</v>
      </c>
      <c r="B4" s="9" t="inlineStr">
        <is>
          <t>TikTok</t>
        </is>
      </c>
      <c r="C4" s="9" t="inlineStr">
        <is>
          <t>@mabradiante</t>
        </is>
      </c>
      <c r="D4" s="9" t="inlineStr">
        <is>
          <t>2025-08-18</t>
        </is>
      </c>
      <c r="E4" s="35" t="inlineStr">
        <is>
          <t>https://www.tiktok.com/@mabradiante/video/7539939568632581392</t>
        </is>
      </c>
      <c r="F4" s="9" t="inlineStr">
        <is>
          <t>Di esto en tu casa y mira cómo todo comienza a cambiar.</t>
        </is>
      </c>
      <c r="G4" s="9" t="inlineStr">
        <is>
          <t>G2 · Promesa práctica</t>
        </is>
      </c>
      <c r="H4" s="9" t="inlineStr">
        <is>
          <t>Hogar / energía</t>
        </is>
      </c>
      <c r="I4" s="9" t="inlineStr">
        <is>
          <t>Cara a cámara + decreto</t>
        </is>
      </c>
      <c r="J4" s="9" t="inlineStr">
        <is>
          <t>163 s</t>
        </is>
      </c>
      <c r="K4" s="9" t="inlineStr">
        <is>
          <t>Esperanza</t>
        </is>
      </c>
      <c r="L4" s="9" t="inlineStr">
        <is>
          <t>Comenta HECHO ESTÁ + guarda y comparte</t>
        </is>
      </c>
      <c r="M4" s="36" t="n">
        <v>2200000</v>
      </c>
      <c r="N4" s="36" t="n">
        <v>11850</v>
      </c>
      <c r="O4" s="34">
        <f>IFERROR(M4/N4,"s/d")</f>
        <v/>
      </c>
      <c r="P4" s="9" t="inlineStr">
        <is>
          <t>P2 · Herramienta para usar ya (decreto, ritual, técnica)</t>
        </is>
      </c>
      <c r="Q4" s="9" t="inlineStr">
        <is>
          <t>transcripciones/tiktok-2025-08-18-di-esto-en-tu-casa-y.md</t>
        </is>
      </c>
    </row>
    <row r="5">
      <c r="A5" s="29" t="n">
        <v>4</v>
      </c>
      <c r="B5" s="29" t="inlineStr">
        <is>
          <t>Instagram</t>
        </is>
      </c>
      <c r="C5" s="29" t="inlineStr">
        <is>
          <t>@danielacorreaup</t>
        </is>
      </c>
      <c r="D5" s="29" t="inlineStr">
        <is>
          <t>2026-06-16</t>
        </is>
      </c>
      <c r="E5" s="32" t="inlineStr">
        <is>
          <t>https://www.instagram.com/p/DZoPOQoNlb5/</t>
        </is>
      </c>
      <c r="F5" s="29" t="inlineStr">
        <is>
          <t>(texto en pantalla) La física ya lo confirmó: lo que no puedes ver es lo que construye todo lo que sí ves.</t>
        </is>
      </c>
      <c r="G5" s="29" t="inlineStr">
        <is>
          <t>G6 · Autoridad científica</t>
        </is>
      </c>
      <c r="H5" s="29" t="inlineStr">
        <is>
          <t>Energía / despertar</t>
        </is>
      </c>
      <c r="I5" s="29" t="inlineStr">
        <is>
          <t>Texto en pantalla + música</t>
        </is>
      </c>
      <c r="J5" s="29" t="inlineStr">
        <is>
          <t>28 s</t>
        </is>
      </c>
      <c r="K5" s="29" t="inlineStr">
        <is>
          <t>Asombro</t>
        </is>
      </c>
      <c r="L5" s="29" t="inlineStr">
        <is>
          <t>s/d</t>
        </is>
      </c>
      <c r="M5" s="33" t="n">
        <v>554163</v>
      </c>
      <c r="N5" s="33" t="n">
        <v>4071.5</v>
      </c>
      <c r="O5" s="34">
        <f>IFERROR(M5/N5,"s/d")</f>
        <v/>
      </c>
      <c r="P5" s="29" t="inlineStr">
        <is>
          <t>P9 · Texto en pantalla + música (sin voz)</t>
        </is>
      </c>
      <c r="Q5" s="29" t="inlineStr">
        <is>
          <t>transcripciones/instagram-2026-06-16-la-fisica-ya-lo-confirmo.md</t>
        </is>
      </c>
    </row>
    <row r="6">
      <c r="A6" s="9" t="n">
        <v>5</v>
      </c>
      <c r="B6" s="9" t="inlineStr">
        <is>
          <t>TikTok</t>
        </is>
      </c>
      <c r="C6" s="9" t="inlineStr">
        <is>
          <t>@mabradiante</t>
        </is>
      </c>
      <c r="D6" s="9" t="inlineStr">
        <is>
          <t>2023-09-13</t>
        </is>
      </c>
      <c r="E6" s="35" t="inlineStr">
        <is>
          <t>https://www.tiktok.com/@mabradiante/video/7278395420961688837</t>
        </is>
      </c>
      <c r="F6" s="9" t="inlineStr">
        <is>
          <t>Cambia tu vida con palabras gatillo: qué son, para qué sirven, cómo se hacen.</t>
        </is>
      </c>
      <c r="G6" s="9" t="inlineStr">
        <is>
          <t>G2 · Promesa práctica</t>
        </is>
      </c>
      <c r="H6" s="9" t="inlineStr">
        <is>
          <t>Espiritualidad práctica</t>
        </is>
      </c>
      <c r="I6" s="9" t="inlineStr">
        <is>
          <t>Cara a cámara + lista de 5</t>
        </is>
      </c>
      <c r="J6" s="9" t="inlineStr">
        <is>
          <t>84 s</t>
        </is>
      </c>
      <c r="K6" s="9" t="inlineStr">
        <is>
          <t>Curiosidad</t>
        </is>
      </c>
      <c r="L6" s="9" t="inlineStr">
        <is>
          <t>Corazón y compártelo</t>
        </is>
      </c>
      <c r="M6" s="36" t="n">
        <v>628600</v>
      </c>
      <c r="N6" s="36" t="n">
        <v>11850</v>
      </c>
      <c r="O6" s="34">
        <f>IFERROR(M6/N6,"s/d")</f>
        <v/>
      </c>
      <c r="P6" s="9" t="inlineStr">
        <is>
          <t>P2 · Herramienta para usar ya (decreto, ritual, técnica)</t>
        </is>
      </c>
      <c r="Q6" s="9" t="inlineStr">
        <is>
          <t>transcripciones/tiktok-2023-09-13-cambia-tu-vida-con-palabras-gatillo.md</t>
        </is>
      </c>
    </row>
    <row r="7">
      <c r="A7" s="9" t="n">
        <v>6</v>
      </c>
      <c r="B7" s="9" t="inlineStr">
        <is>
          <t>TikTok</t>
        </is>
      </c>
      <c r="C7" s="9" t="inlineStr">
        <is>
          <t>@mabradiante</t>
        </is>
      </c>
      <c r="D7" s="9" t="inlineStr">
        <is>
          <t>2025-01-16</t>
        </is>
      </c>
      <c r="E7" s="35" t="inlineStr">
        <is>
          <t>https://www.tiktok.com/@mabradiante/video/7460335723938385157</t>
        </is>
      </c>
      <c r="F7" s="9" t="inlineStr">
        <is>
          <t>Cuidado con este video porque vamos a desbloquear tu riqueza.</t>
        </is>
      </c>
      <c r="G7" s="9" t="inlineStr">
        <is>
          <t>G2 · Promesa práctica</t>
        </is>
      </c>
      <c r="H7" s="9" t="inlineStr">
        <is>
          <t>Dinero</t>
        </is>
      </c>
      <c r="I7" s="9" t="inlineStr">
        <is>
          <t>Cara a cámara + decreto guiado</t>
        </is>
      </c>
      <c r="J7" s="9" t="inlineStr">
        <is>
          <t>145 s</t>
        </is>
      </c>
      <c r="K7" s="9" t="inlineStr">
        <is>
          <t>Esperanza</t>
        </is>
      </c>
      <c r="L7" s="9" t="inlineStr">
        <is>
          <t>Comenta YO QUIERO</t>
        </is>
      </c>
      <c r="M7" s="36" t="n">
        <v>556700</v>
      </c>
      <c r="N7" s="36" t="n">
        <v>11850</v>
      </c>
      <c r="O7" s="34">
        <f>IFERROR(M7/N7,"s/d")</f>
        <v/>
      </c>
      <c r="P7" s="9" t="inlineStr">
        <is>
          <t>P2 · Herramienta para usar ya (decreto, ritual, técnica)</t>
        </is>
      </c>
      <c r="Q7" s="9" t="inlineStr">
        <is>
          <t>transcripciones/tiktok-2025-01-16-cuidado-con-este-video-porque-vamos.md</t>
        </is>
      </c>
    </row>
    <row r="8">
      <c r="A8" s="29" t="n">
        <v>7</v>
      </c>
      <c r="B8" s="29" t="inlineStr">
        <is>
          <t>Instagram</t>
        </is>
      </c>
      <c r="C8" s="29" t="inlineStr">
        <is>
          <t>@danielacorreaup</t>
        </is>
      </c>
      <c r="D8" s="29" t="inlineStr">
        <is>
          <t>2026-09-05</t>
        </is>
      </c>
      <c r="E8" s="32" t="inlineStr">
        <is>
          <t>https://www.instagram.com/p/Dc7CLvtBsBD/</t>
        </is>
      </c>
      <c r="F8" s="29" t="inlineStr">
        <is>
          <t>Uno de los superpoderes de la neurodivergencia es tu capacidad de obsesionarte…</t>
        </is>
      </c>
      <c r="G8" s="29" t="inlineStr">
        <is>
          <t>G1 · Reencuadre</t>
        </is>
      </c>
      <c r="H8" s="29" t="inlineStr">
        <is>
          <t>TDAH / neurodivergencia</t>
        </is>
      </c>
      <c r="I8" s="29" t="inlineStr">
        <is>
          <t>Cara a cámara</t>
        </is>
      </c>
      <c r="J8" s="29" t="inlineStr">
        <is>
          <t>83 s</t>
        </is>
      </c>
      <c r="K8" s="29" t="inlineStr">
        <is>
          <t>Orgullo</t>
        </is>
      </c>
      <c r="L8" s="29" t="inlineStr">
        <is>
          <t>Ninguno</t>
        </is>
      </c>
      <c r="M8" s="33" t="n">
        <v>171167</v>
      </c>
      <c r="N8" s="33" t="n">
        <v>4071.5</v>
      </c>
      <c r="O8" s="34">
        <f>IFERROR(M8/N8,"s/d")</f>
        <v/>
      </c>
      <c r="P8" s="29" t="inlineStr">
        <is>
          <t>P1 · Romper creencia + nombre propio al problema</t>
        </is>
      </c>
      <c r="Q8" s="29" t="inlineStr">
        <is>
          <t>transcripciones/instagram-2026-09-05-este-es-uno-de-los-super.md</t>
        </is>
      </c>
    </row>
    <row r="9">
      <c r="A9" s="29" t="n">
        <v>8</v>
      </c>
      <c r="B9" s="29" t="inlineStr">
        <is>
          <t>Instagram</t>
        </is>
      </c>
      <c r="C9" s="29" t="inlineStr">
        <is>
          <t>@quantumquip</t>
        </is>
      </c>
      <c r="D9" s="29" t="inlineStr">
        <is>
          <t>2026-09-26</t>
        </is>
      </c>
      <c r="E9" s="32" t="inlineStr">
        <is>
          <t>https://www.instagram.com/p/Ddwnt0FPrfM/</t>
        </is>
      </c>
      <c r="F9" s="29" t="inlineStr">
        <is>
          <t>(caption) Cuando entrenas lo suficiente a tu atención para acompañarte…</t>
        </is>
      </c>
      <c r="G9" s="29" t="inlineStr">
        <is>
          <t>G2 · Práctica</t>
        </is>
      </c>
      <c r="H9" s="29" t="inlineStr">
        <is>
          <t>Emociones / presencia</t>
        </is>
      </c>
      <c r="I9" s="29" t="inlineStr">
        <is>
          <t>Texto en pantalla + música</t>
        </is>
      </c>
      <c r="J9" s="29" t="inlineStr">
        <is>
          <t>46 s</t>
        </is>
      </c>
      <c r="K9" s="29" t="inlineStr">
        <is>
          <t>s/d</t>
        </is>
      </c>
      <c r="L9" s="29" t="inlineStr">
        <is>
          <t>s/d</t>
        </is>
      </c>
      <c r="M9" s="33" t="n">
        <v>174917</v>
      </c>
      <c r="N9" s="33" t="n">
        <v>4530</v>
      </c>
      <c r="O9" s="34">
        <f>IFERROR(M9/N9,"s/d")</f>
        <v/>
      </c>
      <c r="P9" s="29" t="inlineStr">
        <is>
          <t>P9 · Texto en pantalla + música (sin voz)</t>
        </is>
      </c>
      <c r="Q9" s="29" t="inlineStr">
        <is>
          <t>transcripciones/instagram-2026-09-26-cuando-entrenas-lo-suficiente-a-tu.md</t>
        </is>
      </c>
    </row>
    <row r="10">
      <c r="A10" s="29" t="n">
        <v>9</v>
      </c>
      <c r="B10" s="29" t="inlineStr">
        <is>
          <t>Instagram</t>
        </is>
      </c>
      <c r="C10" s="29" t="inlineStr">
        <is>
          <t>@danielacorreaup</t>
        </is>
      </c>
      <c r="D10" s="29" t="inlineStr">
        <is>
          <t>2026-08-22</t>
        </is>
      </c>
      <c r="E10" s="32" t="inlineStr">
        <is>
          <t>https://www.instagram.com/p/DcUlSiytrS_/</t>
        </is>
      </c>
      <c r="F10" s="29" t="inlineStr">
        <is>
          <t>Sabrina Carpenter es el ejemplo perfecto de cómo funciona la manifestación.</t>
        </is>
      </c>
      <c r="G10" s="29" t="inlineStr">
        <is>
          <t>G9 · Ejemplo famoso</t>
        </is>
      </c>
      <c r="H10" s="29" t="inlineStr">
        <is>
          <t>Manifestación / identidad</t>
        </is>
      </c>
      <c r="I10" s="29" t="inlineStr">
        <is>
          <t>Cara a cámara</t>
        </is>
      </c>
      <c r="J10" s="29" t="inlineStr">
        <is>
          <t>51 s</t>
        </is>
      </c>
      <c r="K10" s="29" t="inlineStr">
        <is>
          <t>Inspiración</t>
        </is>
      </c>
      <c r="L10" s="29" t="inlineStr">
        <is>
          <t>Ninguno</t>
        </is>
      </c>
      <c r="M10" s="33" t="n">
        <v>144483</v>
      </c>
      <c r="N10" s="33" t="n">
        <v>4071.5</v>
      </c>
      <c r="O10" s="34">
        <f>IFERROR(M10/N10,"s/d")</f>
        <v/>
      </c>
      <c r="P10" s="29" t="inlineStr">
        <is>
          <t>P7 · Autoridad: estudio, famoso o cita</t>
        </is>
      </c>
      <c r="Q10" s="29" t="inlineStr">
        <is>
          <t>transcripciones/instagram-2026-08-22-sabrina-carpenter-es-el-ejemplo-perfecto.md</t>
        </is>
      </c>
    </row>
    <row r="11">
      <c r="A11" s="29" t="n">
        <v>10</v>
      </c>
      <c r="B11" s="29" t="inlineStr">
        <is>
          <t>Instagram</t>
        </is>
      </c>
      <c r="C11" s="29" t="inlineStr">
        <is>
          <t>@danielacorreaup</t>
        </is>
      </c>
      <c r="D11" s="29" t="inlineStr">
        <is>
          <t>2026-08-15</t>
        </is>
      </c>
      <c r="E11" s="32" t="inlineStr">
        <is>
          <t>https://www.instagram.com/p/DcC8I3KN9kI/</t>
        </is>
      </c>
      <c r="F11" s="29" t="inlineStr">
        <is>
          <t>Alguien dijo que las personas con la forma de pensar más avanzada tienen una habilidad muy particular.</t>
        </is>
      </c>
      <c r="G11" s="29" t="inlineStr">
        <is>
          <t>G6 · Autoridad</t>
        </is>
      </c>
      <c r="H11" s="29" t="inlineStr">
        <is>
          <t>Identidad / inteligencia</t>
        </is>
      </c>
      <c r="I11" s="29" t="inlineStr">
        <is>
          <t>Cara a cámara</t>
        </is>
      </c>
      <c r="J11" s="29" t="inlineStr">
        <is>
          <t>45 s</t>
        </is>
      </c>
      <c r="K11" s="29" t="inlineStr">
        <is>
          <t>Orgullo / curiosidad</t>
        </is>
      </c>
      <c r="L11" s="29" t="inlineStr">
        <is>
          <t>Compártelo</t>
        </is>
      </c>
      <c r="M11" s="33" t="n">
        <v>127947</v>
      </c>
      <c r="N11" s="33" t="n">
        <v>4071.5</v>
      </c>
      <c r="O11" s="34">
        <f>IFERROR(M11/N11,"s/d")</f>
        <v/>
      </c>
      <c r="P11" s="29" t="inlineStr">
        <is>
          <t>P7 · Autoridad: estudio, famoso o cita</t>
        </is>
      </c>
      <c r="Q11" s="29" t="inlineStr">
        <is>
          <t>transcripciones/instagram-2026-08-15-esta-es-la-manera-de-pensar.md</t>
        </is>
      </c>
    </row>
    <row r="12">
      <c r="A12" s="29" t="n">
        <v>11</v>
      </c>
      <c r="B12" s="29" t="inlineStr">
        <is>
          <t>Instagram</t>
        </is>
      </c>
      <c r="C12" s="29" t="inlineStr">
        <is>
          <t>@danielacorreaup</t>
        </is>
      </c>
      <c r="D12" s="29" t="inlineStr">
        <is>
          <t>2026-09-02</t>
        </is>
      </c>
      <c r="E12" s="32" t="inlineStr">
        <is>
          <t>https://www.instagram.com/p/DcxHcIpN2jw/</t>
        </is>
      </c>
      <c r="F12" s="29" t="inlineStr">
        <is>
          <t>Solo existen dos tipos de personas que ganan en la vida.</t>
        </is>
      </c>
      <c r="G12" s="29" t="inlineStr">
        <is>
          <t>G5 · Lista</t>
        </is>
      </c>
      <c r="H12" s="29" t="inlineStr">
        <is>
          <t>Metas / éxito</t>
        </is>
      </c>
      <c r="I12" s="29" t="inlineStr">
        <is>
          <t>Cara a cámara</t>
        </is>
      </c>
      <c r="J12" s="29" t="inlineStr">
        <is>
          <t>50 s</t>
        </is>
      </c>
      <c r="K12" s="29" t="inlineStr">
        <is>
          <t>Curiosidad</t>
        </is>
      </c>
      <c r="L12" s="29" t="inlineStr">
        <is>
          <t>Ninguno</t>
        </is>
      </c>
      <c r="M12" s="33" t="n">
        <v>121918</v>
      </c>
      <c r="N12" s="33" t="n">
        <v>4071.5</v>
      </c>
      <c r="O12" s="34">
        <f>IFERROR(M12/N12,"s/d")</f>
        <v/>
      </c>
      <c r="P12" s="29" t="inlineStr">
        <is>
          <t>P5 · Lista o espejo de señales</t>
        </is>
      </c>
      <c r="Q12" s="29" t="inlineStr">
        <is>
          <t>transcripciones/instagram-2026-09-02-que-tipo-de-persona-eres.md</t>
        </is>
      </c>
    </row>
    <row r="13">
      <c r="A13" s="9" t="n">
        <v>12</v>
      </c>
      <c r="B13" s="9" t="inlineStr">
        <is>
          <t>TikTok</t>
        </is>
      </c>
      <c r="C13" s="9" t="inlineStr">
        <is>
          <t>@mabradiante</t>
        </is>
      </c>
      <c r="D13" s="9" t="inlineStr">
        <is>
          <t>2025-04-11</t>
        </is>
      </c>
      <c r="E13" s="35" t="inlineStr">
        <is>
          <t>https://www.tiktok.com/@mabradiante/video/7491928239577861382</t>
        </is>
      </c>
      <c r="F13" s="9" t="inlineStr">
        <is>
          <t>Cuidado con este video porque esta es una oración para conectar con la abundancia.</t>
        </is>
      </c>
      <c r="G13" s="9" t="inlineStr">
        <is>
          <t>G2 · Promesa práctica</t>
        </is>
      </c>
      <c r="H13" s="9" t="inlineStr">
        <is>
          <t>Dinero / abundancia</t>
        </is>
      </c>
      <c r="I13" s="9" t="inlineStr">
        <is>
          <t>Cara a cámara + oración guiada</t>
        </is>
      </c>
      <c r="J13" s="9" t="inlineStr">
        <is>
          <t>176 s</t>
        </is>
      </c>
      <c r="K13" s="9" t="inlineStr">
        <is>
          <t>Esperanza</t>
        </is>
      </c>
      <c r="L13" s="9" t="inlineStr">
        <is>
          <t>Mensaje a Instagram (e-book gratis)</t>
        </is>
      </c>
      <c r="M13" s="36" t="n">
        <v>335300</v>
      </c>
      <c r="N13" s="36" t="n">
        <v>11850</v>
      </c>
      <c r="O13" s="34">
        <f>IFERROR(M13/N13,"s/d")</f>
        <v/>
      </c>
      <c r="P13" s="9" t="inlineStr">
        <is>
          <t>P2 · Herramienta para usar ya (decreto, ritual, técnica)</t>
        </is>
      </c>
      <c r="Q13" s="9" t="inlineStr">
        <is>
          <t>transcripciones/tiktok-2025-04-11-cuidado-con-este-video-porque-esta.md</t>
        </is>
      </c>
    </row>
    <row r="14">
      <c r="A14" s="29" t="n">
        <v>13</v>
      </c>
      <c r="B14" s="29" t="inlineStr">
        <is>
          <t>Instagram</t>
        </is>
      </c>
      <c r="C14" s="29" t="inlineStr">
        <is>
          <t>@danielacorreaup</t>
        </is>
      </c>
      <c r="D14" s="29" t="inlineStr">
        <is>
          <t>2026-09-19</t>
        </is>
      </c>
      <c r="E14" s="32" t="inlineStr">
        <is>
          <t>https://www.instagram.com/p/DdfGwrrvq_o/</t>
        </is>
      </c>
      <c r="F14" s="29" t="inlineStr">
        <is>
          <t>Las personas más inteligentes que conozco tienen un problema rarísimo.</t>
        </is>
      </c>
      <c r="G14" s="29" t="inlineStr">
        <is>
          <t>G1 · Reencuadre</t>
        </is>
      </c>
      <c r="H14" s="29" t="inlineStr">
        <is>
          <t>Constancia / inteligencia</t>
        </is>
      </c>
      <c r="I14" s="29" t="inlineStr">
        <is>
          <t>Cara a cámara</t>
        </is>
      </c>
      <c r="J14" s="29" t="inlineStr">
        <is>
          <t>77 s</t>
        </is>
      </c>
      <c r="K14" s="29" t="inlineStr">
        <is>
          <t>Curiosidad</t>
        </is>
      </c>
      <c r="L14" s="29" t="inlineStr">
        <is>
          <t>Ninguno</t>
        </is>
      </c>
      <c r="M14" s="33" t="n">
        <v>101223</v>
      </c>
      <c r="N14" s="33" t="n">
        <v>4071.5</v>
      </c>
      <c r="O14" s="34">
        <f>IFERROR(M14/N14,"s/d")</f>
        <v/>
      </c>
      <c r="P14" s="29" t="inlineStr">
        <is>
          <t>P1 · Romper creencia + nombre propio al problema</t>
        </is>
      </c>
      <c r="Q14" s="29" t="inlineStr">
        <is>
          <t>transcripciones/instagram-2026-09-19-esta-es-una-de-las-mayores.md</t>
        </is>
      </c>
    </row>
    <row r="15">
      <c r="A15" s="9" t="n">
        <v>14</v>
      </c>
      <c r="B15" s="9" t="inlineStr">
        <is>
          <t>TikTok</t>
        </is>
      </c>
      <c r="C15" s="9" t="inlineStr">
        <is>
          <t>@mabradiante</t>
        </is>
      </c>
      <c r="D15" s="9" t="inlineStr">
        <is>
          <t>2025-01-15</t>
        </is>
      </c>
      <c r="E15" s="35" t="inlineStr">
        <is>
          <t>https://www.tiktok.com/@mabradiante/video/7459976432870034693</t>
        </is>
      </c>
      <c r="F15" s="9" t="inlineStr">
        <is>
          <t>Cuidado con este video porque vamos a activar tu ADN del dinero.</t>
        </is>
      </c>
      <c r="G15" s="9" t="inlineStr">
        <is>
          <t>G2 · Promesa práctica</t>
        </is>
      </c>
      <c r="H15" s="9" t="inlineStr">
        <is>
          <t>Dinero</t>
        </is>
      </c>
      <c r="I15" s="9" t="inlineStr">
        <is>
          <t>Cara a cámara + decreto guiado</t>
        </is>
      </c>
      <c r="J15" s="9" t="inlineStr">
        <is>
          <t>111 s</t>
        </is>
      </c>
      <c r="K15" s="9" t="inlineStr">
        <is>
          <t>Esperanza</t>
        </is>
      </c>
      <c r="L15" s="9" t="inlineStr">
        <is>
          <t>Hecho está + compártelo</t>
        </is>
      </c>
      <c r="M15" s="36" t="n">
        <v>280200</v>
      </c>
      <c r="N15" s="36" t="n">
        <v>11850</v>
      </c>
      <c r="O15" s="34">
        <f>IFERROR(M15/N15,"s/d")</f>
        <v/>
      </c>
      <c r="P15" s="9" t="inlineStr">
        <is>
          <t>P2 · Herramienta para usar ya (decreto, ritual, técnica)</t>
        </is>
      </c>
      <c r="Q15" s="9" t="inlineStr">
        <is>
          <t>transcripciones/tiktok-2025-01-15-cuidado-con-este-video-porque-vamos.md</t>
        </is>
      </c>
    </row>
    <row r="16">
      <c r="A16" s="29" t="n">
        <v>15</v>
      </c>
      <c r="B16" s="29" t="inlineStr">
        <is>
          <t>Instagram</t>
        </is>
      </c>
      <c r="C16" s="29" t="inlineStr">
        <is>
          <t>@danielacorreaup</t>
        </is>
      </c>
      <c r="D16" s="29" t="inlineStr">
        <is>
          <t>2026-08-25</t>
        </is>
      </c>
      <c r="E16" s="32" t="inlineStr">
        <is>
          <t>https://www.instagram.com/p/Dcch8c_tibs/</t>
        </is>
      </c>
      <c r="F16" s="29" t="inlineStr">
        <is>
          <t>La frecuencia del TDA te puede hacer ganar muchísimo dinero.</t>
        </is>
      </c>
      <c r="G16" s="29" t="inlineStr">
        <is>
          <t>G1 · Reencuadre</t>
        </is>
      </c>
      <c r="H16" s="29" t="inlineStr">
        <is>
          <t>TDAH + dinero</t>
        </is>
      </c>
      <c r="I16" s="29" t="inlineStr">
        <is>
          <t>Cara a cámara</t>
        </is>
      </c>
      <c r="J16" s="29" t="inlineStr">
        <is>
          <t>58 s</t>
        </is>
      </c>
      <c r="K16" s="29" t="inlineStr">
        <is>
          <t>Esperanza</t>
        </is>
      </c>
      <c r="L16" s="29" t="inlineStr">
        <is>
          <t>Ninguno</t>
        </is>
      </c>
      <c r="M16" s="33" t="n">
        <v>79118</v>
      </c>
      <c r="N16" s="33" t="n">
        <v>4071.5</v>
      </c>
      <c r="O16" s="34">
        <f>IFERROR(M16/N16,"s/d")</f>
        <v/>
      </c>
      <c r="P16" s="29" t="inlineStr">
        <is>
          <t>P1 · Romper creencia + nombre propio al problema</t>
        </is>
      </c>
      <c r="Q16" s="29" t="inlineStr">
        <is>
          <t>transcripciones/instagram-2026-08-25-el-tdah-te-puede-generar-mucho.md</t>
        </is>
      </c>
    </row>
    <row r="17">
      <c r="A17" s="29" t="n">
        <v>16</v>
      </c>
      <c r="B17" s="29" t="inlineStr">
        <is>
          <t>Facebook</t>
        </is>
      </c>
      <c r="C17" s="29" t="inlineStr">
        <is>
          <t>PsicoespacioVe</t>
        </is>
      </c>
      <c r="D17" s="29" t="inlineStr">
        <is>
          <t>s/d</t>
        </is>
      </c>
      <c r="E17" s="32" t="inlineStr">
        <is>
          <t>https://www.facebook.com/reel/1082191651093348/</t>
        </is>
      </c>
      <c r="F17" s="29" t="inlineStr">
        <is>
          <t>No arregles a la persona con la que estás saliendo.</t>
        </is>
      </c>
      <c r="G17" s="29" t="inlineStr">
        <is>
          <t>G1 · Reencuadre</t>
        </is>
      </c>
      <c r="H17" s="29" t="inlineStr">
        <is>
          <t>Relaciones</t>
        </is>
      </c>
      <c r="I17" s="29" t="inlineStr">
        <is>
          <t>Cara a cámara</t>
        </is>
      </c>
      <c r="J17" s="29" t="inlineStr">
        <is>
          <t>51 s</t>
        </is>
      </c>
      <c r="K17" s="29" t="inlineStr">
        <is>
          <t>Sorpresa / identificación</t>
        </is>
      </c>
      <c r="L17" s="29" t="inlineStr">
        <is>
          <t>Comenta CLASE</t>
        </is>
      </c>
      <c r="M17" s="33" t="n">
        <v>46000</v>
      </c>
      <c r="N17" s="33" t="n">
        <v>2375</v>
      </c>
      <c r="O17" s="34">
        <f>IFERROR(M17/N17,"s/d")</f>
        <v/>
      </c>
      <c r="P17" s="29" t="inlineStr">
        <is>
          <t>P1 · Romper creencia + nombre propio al problema</t>
        </is>
      </c>
      <c r="Q17" s="29" t="inlineStr">
        <is>
          <t>transcripciones/facebook-no-arregles-a-la-persona-con-la-que-estas-saliendo.md</t>
        </is>
      </c>
    </row>
    <row r="18">
      <c r="A18" s="29" t="n">
        <v>17</v>
      </c>
      <c r="B18" s="29" t="inlineStr">
        <is>
          <t>Instagram</t>
        </is>
      </c>
      <c r="C18" s="29" t="inlineStr">
        <is>
          <t>@quantumquip</t>
        </is>
      </c>
      <c r="D18" s="29" t="inlineStr">
        <is>
          <t>2026-09-20</t>
        </is>
      </c>
      <c r="E18" s="32" t="inlineStr">
        <is>
          <t>https://www.instagram.com/p/DdhoB0yO6lu/</t>
        </is>
      </c>
      <c r="F18" s="29" t="inlineStr">
        <is>
          <t>(caption) Hay muchas formas de huir de la incomodidad, pero pocos se entrenan para atravesarla.</t>
        </is>
      </c>
      <c r="G18" s="29" t="inlineStr">
        <is>
          <t>G1 · Reencuadre</t>
        </is>
      </c>
      <c r="H18" s="29" t="inlineStr">
        <is>
          <t>Emociones / incomodidad</t>
        </is>
      </c>
      <c r="I18" s="29" t="inlineStr">
        <is>
          <t>Texto en pantalla + música</t>
        </is>
      </c>
      <c r="J18" s="29" t="inlineStr">
        <is>
          <t>28 s</t>
        </is>
      </c>
      <c r="K18" s="29" t="inlineStr">
        <is>
          <t>s/d</t>
        </is>
      </c>
      <c r="L18" s="29" t="inlineStr">
        <is>
          <t>s/d</t>
        </is>
      </c>
      <c r="M18" s="33" t="n">
        <v>86690</v>
      </c>
      <c r="N18" s="33" t="n">
        <v>4530</v>
      </c>
      <c r="O18" s="34">
        <f>IFERROR(M18/N18,"s/d")</f>
        <v/>
      </c>
      <c r="P18" s="29" t="inlineStr">
        <is>
          <t>P9 · Texto en pantalla + música (sin voz)</t>
        </is>
      </c>
      <c r="Q18" s="29" t="inlineStr">
        <is>
          <t>transcripciones/instagram-2026-09-20-hay-muchas-formas-de-huir-de.md</t>
        </is>
      </c>
    </row>
    <row r="19">
      <c r="A19" s="29" t="n">
        <v>18</v>
      </c>
      <c r="B19" s="29" t="inlineStr">
        <is>
          <t>Instagram</t>
        </is>
      </c>
      <c r="C19" s="29" t="inlineStr">
        <is>
          <t>@danielacorreaup</t>
        </is>
      </c>
      <c r="D19" s="29" t="inlineStr">
        <is>
          <t>2026-09-06</t>
        </is>
      </c>
      <c r="E19" s="32" t="inlineStr">
        <is>
          <t>https://www.instagram.com/p/Dc9upGuNmvR/</t>
        </is>
      </c>
      <c r="F19" s="29" t="inlineStr">
        <is>
          <t>¿Y si el TDAH no fuera simplemente un trastorno?</t>
        </is>
      </c>
      <c r="G19" s="29" t="inlineStr">
        <is>
          <t>G4 · Pregunta</t>
        </is>
      </c>
      <c r="H19" s="29" t="inlineStr">
        <is>
          <t>TDAH / neurodivergencia</t>
        </is>
      </c>
      <c r="I19" s="29" t="inlineStr">
        <is>
          <t>Cara a cámara</t>
        </is>
      </c>
      <c r="J19" s="29" t="inlineStr">
        <is>
          <t>71 s</t>
        </is>
      </c>
      <c r="K19" s="29" t="inlineStr">
        <is>
          <t>Esperanza</t>
        </is>
      </c>
      <c r="L19" s="29" t="inlineStr">
        <is>
          <t>Comenta NEUROSPICY</t>
        </is>
      </c>
      <c r="M19" s="33" t="n">
        <v>74380</v>
      </c>
      <c r="N19" s="33" t="n">
        <v>4071.5</v>
      </c>
      <c r="O19" s="34">
        <f>IFERROR(M19/N19,"s/d")</f>
        <v/>
      </c>
      <c r="P19" s="29" t="inlineStr">
        <is>
          <t>P1 · Romper creencia + nombre propio al problema</t>
        </is>
      </c>
      <c r="Q19" s="29" t="inlineStr">
        <is>
          <t>transcripciones/instagram-2026-09-06-y-si-el-tdah-no-fuera.md</t>
        </is>
      </c>
    </row>
    <row r="20">
      <c r="A20" s="29" t="n">
        <v>19</v>
      </c>
      <c r="B20" s="29" t="inlineStr">
        <is>
          <t>Instagram</t>
        </is>
      </c>
      <c r="C20" s="29" t="inlineStr">
        <is>
          <t>@danielacorreaup</t>
        </is>
      </c>
      <c r="D20" s="29" t="inlineStr">
        <is>
          <t>2026-08-27</t>
        </is>
      </c>
      <c r="E20" s="32" t="inlineStr">
        <is>
          <t>https://www.instagram.com/p/Dchq2qitF5k/</t>
        </is>
      </c>
      <c r="F20" s="29" t="inlineStr">
        <is>
          <t>Me di cuenta de que si tienes TDA, en realidad tienes una ventaja.</t>
        </is>
      </c>
      <c r="G20" s="29" t="inlineStr">
        <is>
          <t>G1 · Reencuadre</t>
        </is>
      </c>
      <c r="H20" s="29" t="inlineStr">
        <is>
          <t>TDAH / neurodivergencia</t>
        </is>
      </c>
      <c r="I20" s="29" t="inlineStr">
        <is>
          <t>Cara a cámara</t>
        </is>
      </c>
      <c r="J20" s="29" t="inlineStr">
        <is>
          <t>50 s</t>
        </is>
      </c>
      <c r="K20" s="29" t="inlineStr">
        <is>
          <t>Alivio</t>
        </is>
      </c>
      <c r="L20" s="29" t="inlineStr">
        <is>
          <t>Ninguno</t>
        </is>
      </c>
      <c r="M20" s="33" t="n">
        <v>63330</v>
      </c>
      <c r="N20" s="33" t="n">
        <v>4071.5</v>
      </c>
      <c r="O20" s="34">
        <f>IFERROR(M20/N20,"s/d")</f>
        <v/>
      </c>
      <c r="P20" s="29" t="inlineStr">
        <is>
          <t>P1 · Romper creencia + nombre propio al problema</t>
        </is>
      </c>
      <c r="Q20" s="29" t="inlineStr">
        <is>
          <t>transcripciones/instagram-2026-08-27-si-tienes-tdah-en-realidad-tienes.md</t>
        </is>
      </c>
    </row>
    <row r="21">
      <c r="A21" s="29" t="n">
        <v>20</v>
      </c>
      <c r="B21" s="29" t="inlineStr">
        <is>
          <t>Instagram</t>
        </is>
      </c>
      <c r="C21" s="29" t="inlineStr">
        <is>
          <t>@danielacorreaup</t>
        </is>
      </c>
      <c r="D21" s="29" t="inlineStr">
        <is>
          <t>2026-10-01</t>
        </is>
      </c>
      <c r="E21" s="32" t="inlineStr">
        <is>
          <t>https://www.instagram.com/p/Dd9-wCCMwLn/</t>
        </is>
      </c>
      <c r="F21" s="29" t="inlineStr">
        <is>
          <t>Una de las señales más claras de inteligencia emocional es no necesitar destruir a alguien para decirle una verdad.</t>
        </is>
      </c>
      <c r="G21" s="29" t="inlineStr">
        <is>
          <t>G5 · Señal</t>
        </is>
      </c>
      <c r="H21" s="29" t="inlineStr">
        <is>
          <t>Inteligencia emocional</t>
        </is>
      </c>
      <c r="I21" s="29" t="inlineStr">
        <is>
          <t>Cara a cámara</t>
        </is>
      </c>
      <c r="J21" s="29" t="inlineStr">
        <is>
          <t>50 s</t>
        </is>
      </c>
      <c r="K21" s="29" t="inlineStr">
        <is>
          <t>Orgullo</t>
        </is>
      </c>
      <c r="L21" s="29" t="inlineStr">
        <is>
          <t>Ninguno</t>
        </is>
      </c>
      <c r="M21" s="33" t="n">
        <v>61427</v>
      </c>
      <c r="N21" s="33" t="n">
        <v>4071.5</v>
      </c>
      <c r="O21" s="34">
        <f>IFERROR(M21/N21,"s/d")</f>
        <v/>
      </c>
      <c r="P21" s="29" t="inlineStr">
        <is>
          <t>P5 · Lista o espejo de señales</t>
        </is>
      </c>
      <c r="Q21" s="29" t="inlineStr">
        <is>
          <t>transcripciones/instagram-2026-10-01-esta-es-la-senal-mas-clara.md</t>
        </is>
      </c>
    </row>
    <row r="22">
      <c r="A22" s="29" t="n">
        <v>21</v>
      </c>
      <c r="B22" s="29" t="inlineStr">
        <is>
          <t>Facebook</t>
        </is>
      </c>
      <c r="C22" s="29" t="inlineStr">
        <is>
          <t>PsicoespacioVe</t>
        </is>
      </c>
      <c r="D22" s="29" t="inlineStr">
        <is>
          <t>s/d</t>
        </is>
      </c>
      <c r="E22" s="32" t="inlineStr">
        <is>
          <t>https://www.facebook.com/reel/1645012720383908/</t>
        </is>
      </c>
      <c r="F22" s="29" t="inlineStr">
        <is>
          <t>Los bonsáis no simplemente son árboles que nacieron enanos.</t>
        </is>
      </c>
      <c r="G22" s="29" t="inlineStr">
        <is>
          <t>G7 · Metáfora visual</t>
        </is>
      </c>
      <c r="H22" s="29" t="inlineStr">
        <is>
          <t>Identidad / potencial</t>
        </is>
      </c>
      <c r="I22" s="29" t="inlineStr">
        <is>
          <t>Fragmento de clase en vivo</t>
        </is>
      </c>
      <c r="J22" s="29" t="inlineStr">
        <is>
          <t>96 s</t>
        </is>
      </c>
      <c r="K22" s="29" t="inlineStr">
        <is>
          <t>Esperanza</t>
        </is>
      </c>
      <c r="L22" s="29" t="inlineStr">
        <is>
          <t>Comenta CLASE</t>
        </is>
      </c>
      <c r="M22" s="33" t="n">
        <v>34000</v>
      </c>
      <c r="N22" s="33" t="n">
        <v>2375</v>
      </c>
      <c r="O22" s="34">
        <f>IFERROR(M22/N22,"s/d")</f>
        <v/>
      </c>
      <c r="P22" s="29" t="inlineStr">
        <is>
          <t>P6 · Historia o metáfora</t>
        </is>
      </c>
      <c r="Q22" s="29" t="inlineStr">
        <is>
          <t>transcripciones/facebook-patron-bonsai-clase-1.md</t>
        </is>
      </c>
    </row>
    <row r="23">
      <c r="A23" s="29" t="n">
        <v>22</v>
      </c>
      <c r="B23" s="29" t="inlineStr">
        <is>
          <t>Instagram</t>
        </is>
      </c>
      <c r="C23" s="29" t="inlineStr">
        <is>
          <t>@danielacorreaup</t>
        </is>
      </c>
      <c r="D23" s="29" t="inlineStr">
        <is>
          <t>2026-10-04</t>
        </is>
      </c>
      <c r="E23" s="32" t="inlineStr">
        <is>
          <t>https://www.instagram.com/p/DeDVDapNi3P/</t>
        </is>
      </c>
      <c r="F23" s="29" t="inlineStr">
        <is>
          <t>Las personas más inteligentes que he conocido tienen algo en común que la sociedad confunde con debilidad.</t>
        </is>
      </c>
      <c r="G23" s="29" t="inlineStr">
        <is>
          <t>G6 · Cita (Fitzgerald)</t>
        </is>
      </c>
      <c r="H23" s="29" t="inlineStr">
        <is>
          <t>Identidad / inteligencia</t>
        </is>
      </c>
      <c r="I23" s="29" t="inlineStr">
        <is>
          <t>Cara a cámara</t>
        </is>
      </c>
      <c r="J23" s="29" t="inlineStr">
        <is>
          <t>68 s</t>
        </is>
      </c>
      <c r="K23" s="29" t="inlineStr">
        <is>
          <t>Orgullo</t>
        </is>
      </c>
      <c r="L23" s="29" t="inlineStr">
        <is>
          <t>Ninguno</t>
        </is>
      </c>
      <c r="M23" s="33" t="n">
        <v>52578</v>
      </c>
      <c r="N23" s="33" t="n">
        <v>4071.5</v>
      </c>
      <c r="O23" s="34">
        <f>IFERROR(M23/N23,"s/d")</f>
        <v/>
      </c>
      <c r="P23" s="29" t="inlineStr">
        <is>
          <t>P7 · Autoridad: estudio, famoso o cita</t>
        </is>
      </c>
      <c r="Q23" s="29" t="inlineStr">
        <is>
          <t>transcripciones/instagram-2026-10-04-este-es-el-factor-comun-de.md</t>
        </is>
      </c>
    </row>
    <row r="24">
      <c r="A24" s="29" t="n">
        <v>23</v>
      </c>
      <c r="B24" s="29" t="inlineStr">
        <is>
          <t>Instagram</t>
        </is>
      </c>
      <c r="C24" s="29" t="inlineStr">
        <is>
          <t>@danielacorreaup</t>
        </is>
      </c>
      <c r="D24" s="29" t="inlineStr">
        <is>
          <t>2026-08-18</t>
        </is>
      </c>
      <c r="E24" s="32" t="inlineStr">
        <is>
          <t>https://www.instagram.com/p/DcKYbr2txl3/</t>
        </is>
      </c>
      <c r="F24" s="29" t="inlineStr">
        <is>
          <t>¿Cómo sabes si realmente tienes TDAH o simplemente estás distraído?</t>
        </is>
      </c>
      <c r="G24" s="29" t="inlineStr">
        <is>
          <t>G4 · Pregunta-dolor</t>
        </is>
      </c>
      <c r="H24" s="29" t="inlineStr">
        <is>
          <t>TDAH / neurodivergencia</t>
        </is>
      </c>
      <c r="I24" s="29" t="inlineStr">
        <is>
          <t>Cara a cámara</t>
        </is>
      </c>
      <c r="J24" s="29" t="inlineStr">
        <is>
          <t>61 s</t>
        </is>
      </c>
      <c r="K24" s="29" t="inlineStr">
        <is>
          <t>Curiosidad</t>
        </is>
      </c>
      <c r="L24" s="29" t="inlineStr">
        <is>
          <t>Busca un profesional</t>
        </is>
      </c>
      <c r="M24" s="33" t="n">
        <v>45105</v>
      </c>
      <c r="N24" s="33" t="n">
        <v>4071.5</v>
      </c>
      <c r="O24" s="34">
        <f>IFERROR(M24/N24,"s/d")</f>
        <v/>
      </c>
      <c r="P24" s="29" t="inlineStr">
        <is>
          <t>P3 · Dolor en sus palabras + explicación</t>
        </is>
      </c>
      <c r="Q24" s="29" t="inlineStr">
        <is>
          <t>transcripciones/instagram-2026-08-18-esta-es-la-forma-de-saber.md</t>
        </is>
      </c>
    </row>
    <row r="25">
      <c r="A25" s="29" t="n">
        <v>24</v>
      </c>
      <c r="B25" s="29" t="inlineStr">
        <is>
          <t>TikTok</t>
        </is>
      </c>
      <c r="C25" s="29" t="inlineStr">
        <is>
          <t>@transformacion_acelerada</t>
        </is>
      </c>
      <c r="D25" s="29" t="inlineStr">
        <is>
          <t>2023-08-18</t>
        </is>
      </c>
      <c r="E25" s="32" t="inlineStr">
        <is>
          <t>https://www.tiktok.com/@transformacion_acelerada/video/7268674262804811014</t>
        </is>
      </c>
      <c r="F25" s="29" t="inlineStr">
        <is>
          <t>¿Por qué sigo sin soltar a una persona o a una situación que me está haciendo daño?</t>
        </is>
      </c>
      <c r="G25" s="29" t="inlineStr">
        <is>
          <t>G4 · Pregunta-dolor</t>
        </is>
      </c>
      <c r="H25" s="29" t="inlineStr">
        <is>
          <t>Relaciones / apego</t>
        </is>
      </c>
      <c r="I25" s="29" t="inlineStr">
        <is>
          <t>Cara a cámara, 3 razones + tips</t>
        </is>
      </c>
      <c r="J25" s="29" t="inlineStr">
        <is>
          <t>238 s</t>
        </is>
      </c>
      <c r="K25" s="29" t="inlineStr">
        <is>
          <t>Identificación</t>
        </is>
      </c>
      <c r="L25" s="29" t="inlineStr">
        <is>
          <t>Sígueme para más</t>
        </is>
      </c>
      <c r="M25" s="33" t="n">
        <v>2400000</v>
      </c>
      <c r="N25" s="33" t="n">
        <v>295900</v>
      </c>
      <c r="O25" s="34">
        <f>IFERROR(M25/N25,"s/d")</f>
        <v/>
      </c>
      <c r="P25" s="29" t="inlineStr">
        <is>
          <t>P3 · Dolor en sus palabras + explicación</t>
        </is>
      </c>
      <c r="Q25" s="29" t="inlineStr">
        <is>
          <t>transcripciones/tiktok-2023-08-18-por-que-sigo-sin-soltar-a.md</t>
        </is>
      </c>
    </row>
    <row r="26">
      <c r="A26" s="29" t="n">
        <v>25</v>
      </c>
      <c r="B26" s="29" t="inlineStr">
        <is>
          <t>Instagram</t>
        </is>
      </c>
      <c r="C26" s="29" t="inlineStr">
        <is>
          <t>@danielacorreaup</t>
        </is>
      </c>
      <c r="D26" s="29" t="inlineStr">
        <is>
          <t>2026-09-09</t>
        </is>
      </c>
      <c r="E26" s="32" t="inlineStr">
        <is>
          <t>https://www.instagram.com/p/DdDLmxntJct/</t>
        </is>
      </c>
      <c r="F26" s="29" t="inlineStr">
        <is>
          <t>Lady Gaga es uno de los ejemplos más claros de cómo funciona la manifestación.</t>
        </is>
      </c>
      <c r="G26" s="29" t="inlineStr">
        <is>
          <t>G9 · Ejemplo famoso</t>
        </is>
      </c>
      <c r="H26" s="29" t="inlineStr">
        <is>
          <t>Manifestación / identidad</t>
        </is>
      </c>
      <c r="I26" s="29" t="inlineStr">
        <is>
          <t>Cara a cámara</t>
        </is>
      </c>
      <c r="J26" s="29" t="inlineStr">
        <is>
          <t>53 s</t>
        </is>
      </c>
      <c r="K26" s="29" t="inlineStr">
        <is>
          <t>Inspiración</t>
        </is>
      </c>
      <c r="L26" s="29" t="inlineStr">
        <is>
          <t>Ninguno</t>
        </is>
      </c>
      <c r="M26" s="33" t="n">
        <v>30983</v>
      </c>
      <c r="N26" s="33" t="n">
        <v>4071.5</v>
      </c>
      <c r="O26" s="34">
        <f>IFERROR(M26/N26,"s/d")</f>
        <v/>
      </c>
      <c r="P26" s="29" t="inlineStr">
        <is>
          <t>P7 · Autoridad: estudio, famoso o cita</t>
        </is>
      </c>
      <c r="Q26" s="29" t="inlineStr">
        <is>
          <t>transcripciones/instagram-2026-09-09-esta-es-la-manifestacion-que-usaba.md</t>
        </is>
      </c>
    </row>
    <row r="27">
      <c r="A27" s="29" t="n">
        <v>26</v>
      </c>
      <c r="B27" s="29" t="inlineStr">
        <is>
          <t>Instagram</t>
        </is>
      </c>
      <c r="C27" s="29" t="inlineStr">
        <is>
          <t>@danielacorreaup</t>
        </is>
      </c>
      <c r="D27" s="29" t="inlineStr">
        <is>
          <t>2026-08-26</t>
        </is>
      </c>
      <c r="E27" s="32" t="inlineStr">
        <is>
          <t>https://www.instagram.com/p/Dce-DS8Nogg/</t>
        </is>
      </c>
      <c r="F27" s="29" t="inlineStr">
        <is>
          <t>El 99% de tu éxito depende de una sola cosa.</t>
        </is>
      </c>
      <c r="G27" s="29" t="inlineStr">
        <is>
          <t>G6 · Autoridad (Harvard)</t>
        </is>
      </c>
      <c r="H27" s="29" t="inlineStr">
        <is>
          <t>Metas / entorno</t>
        </is>
      </c>
      <c r="I27" s="29" t="inlineStr">
        <is>
          <t>Cara a cámara</t>
        </is>
      </c>
      <c r="J27" s="29" t="inlineStr">
        <is>
          <t>71 s</t>
        </is>
      </c>
      <c r="K27" s="29" t="inlineStr">
        <is>
          <t>Curiosidad</t>
        </is>
      </c>
      <c r="L27" s="29" t="inlineStr">
        <is>
          <t>Ninguno</t>
        </is>
      </c>
      <c r="M27" s="33" t="n">
        <v>28127</v>
      </c>
      <c r="N27" s="33" t="n">
        <v>4071.5</v>
      </c>
      <c r="O27" s="34">
        <f>IFERROR(M27/N27,"s/d")</f>
        <v/>
      </c>
      <c r="P27" s="29" t="inlineStr">
        <is>
          <t>P7 · Autoridad: estudio, famoso o cita</t>
        </is>
      </c>
      <c r="Q27" s="29" t="inlineStr">
        <is>
          <t>transcripciones/instagram-2026-08-26-tu-exito-depende-99-de-este.md</t>
        </is>
      </c>
    </row>
    <row r="28">
      <c r="A28" s="29" t="n">
        <v>27</v>
      </c>
      <c r="B28" s="29" t="inlineStr">
        <is>
          <t>TikTok</t>
        </is>
      </c>
      <c r="C28" s="29" t="inlineStr">
        <is>
          <t>@transformacion_acelerada</t>
        </is>
      </c>
      <c r="D28" s="29" t="inlineStr">
        <is>
          <t>2022-10-23</t>
        </is>
      </c>
      <c r="E28" s="32" t="inlineStr">
        <is>
          <t>https://www.tiktok.com/@transformacion_acelerada/video/7157777541065919750</t>
        </is>
      </c>
      <c r="F28" s="29" t="inlineStr">
        <is>
          <t>(texto en pantalla) 4 señales de que el universo quiere darte lo que has pedido</t>
        </is>
      </c>
      <c r="G28" s="29" t="inlineStr">
        <is>
          <t>G5 · Lista de señales</t>
        </is>
      </c>
      <c r="H28" s="29" t="inlineStr">
        <is>
          <t>Manifestación / cambio</t>
        </is>
      </c>
      <c r="I28" s="29" t="inlineStr">
        <is>
          <t>Texto en pantalla + música + gestos</t>
        </is>
      </c>
      <c r="J28" s="29" t="inlineStr">
        <is>
          <t>59 s</t>
        </is>
      </c>
      <c r="K28" s="29" t="inlineStr">
        <is>
          <t>Esperanza</t>
        </is>
      </c>
      <c r="L28" s="29" t="inlineStr">
        <is>
          <t>Ninguno</t>
        </is>
      </c>
      <c r="M28" s="33" t="n">
        <v>1900000</v>
      </c>
      <c r="N28" s="33" t="n">
        <v>295900</v>
      </c>
      <c r="O28" s="34">
        <f>IFERROR(M28/N28,"s/d")</f>
        <v/>
      </c>
      <c r="P28" s="29" t="inlineStr">
        <is>
          <t>P9 · Texto en pantalla + música (sin voz)</t>
        </is>
      </c>
      <c r="Q28" s="29" t="inlineStr">
        <is>
          <t>transcripciones/tiktok-2022-10-23-senales-universo-quiere-darte-lo-que-pediste.md</t>
        </is>
      </c>
    </row>
    <row r="29">
      <c r="A29" s="29" t="n">
        <v>28</v>
      </c>
      <c r="B29" s="29" t="inlineStr">
        <is>
          <t>Facebook</t>
        </is>
      </c>
      <c r="C29" s="29" t="inlineStr">
        <is>
          <t>PsicoespacioVe</t>
        </is>
      </c>
      <c r="D29" s="29" t="inlineStr">
        <is>
          <t>s/d</t>
        </is>
      </c>
      <c r="E29" s="32" t="inlineStr">
        <is>
          <t>https://www.facebook.com/reel/1988925101818211/</t>
        </is>
      </c>
      <c r="F29" s="29" t="inlineStr">
        <is>
          <t>Les voy a dar un regalo… hay un programa gratuito…</t>
        </is>
      </c>
      <c r="G29" s="29" t="inlineStr">
        <is>
          <t>Anuncio</t>
        </is>
      </c>
      <c r="H29" s="29" t="inlineStr">
        <is>
          <t>Reprogramar la mente</t>
        </is>
      </c>
      <c r="I29" s="29" t="inlineStr">
        <is>
          <t>Cara a cámara corto</t>
        </is>
      </c>
      <c r="J29" s="29" t="inlineStr">
        <is>
          <t>26 s</t>
        </is>
      </c>
      <c r="K29" s="29" t="inlineStr">
        <is>
          <t>Curiosidad</t>
        </is>
      </c>
      <c r="L29" s="29" t="inlineStr">
        <is>
          <t>Comenta REPROGRÁMATE</t>
        </is>
      </c>
      <c r="M29" s="33" t="n">
        <v>15000</v>
      </c>
      <c r="N29" s="33" t="n">
        <v>2375</v>
      </c>
      <c r="O29" s="34">
        <f>IFERROR(M29/N29,"s/d")</f>
        <v/>
      </c>
      <c r="P29" s="29" t="inlineStr">
        <is>
          <t>P8 · Anuncio directo de evento o producto</t>
        </is>
      </c>
      <c r="Q29" s="29" t="inlineStr">
        <is>
          <t>transcripciones/facebook-hoy-comienza-reprogramate.md</t>
        </is>
      </c>
    </row>
    <row r="30">
      <c r="A30" s="29" t="n">
        <v>29</v>
      </c>
      <c r="B30" s="29" t="inlineStr">
        <is>
          <t>Instagram</t>
        </is>
      </c>
      <c r="C30" s="29" t="inlineStr">
        <is>
          <t>@quantumquip</t>
        </is>
      </c>
      <c r="D30" s="29" t="inlineStr">
        <is>
          <t>2026-09-14</t>
        </is>
      </c>
      <c r="E30" s="32" t="inlineStr">
        <is>
          <t>https://www.instagram.com/p/DdR_B07ujiq/</t>
        </is>
      </c>
      <c r="F30" s="29" t="inlineStr">
        <is>
          <t>(caption) Cada vez que te peleas con la realidad, no solo la realidad no cambia…</t>
        </is>
      </c>
      <c r="G30" s="29" t="inlineStr">
        <is>
          <t>G1 · Reencuadre</t>
        </is>
      </c>
      <c r="H30" s="29" t="inlineStr">
        <is>
          <t>Aceptación / energía</t>
        </is>
      </c>
      <c r="I30" s="29" t="inlineStr">
        <is>
          <t>Texto en pantalla + música</t>
        </is>
      </c>
      <c r="J30" s="29" t="inlineStr">
        <is>
          <t>9 s</t>
        </is>
      </c>
      <c r="K30" s="29" t="inlineStr">
        <is>
          <t>s/d</t>
        </is>
      </c>
      <c r="L30" s="29" t="inlineStr">
        <is>
          <t>s/d</t>
        </is>
      </c>
      <c r="M30" s="33" t="n">
        <v>25972</v>
      </c>
      <c r="N30" s="33" t="n">
        <v>4530</v>
      </c>
      <c r="O30" s="34">
        <f>IFERROR(M30/N30,"s/d")</f>
        <v/>
      </c>
      <c r="P30" s="29" t="inlineStr">
        <is>
          <t>P9 · Texto en pantalla + música (sin voz)</t>
        </is>
      </c>
      <c r="Q30" s="29" t="inlineStr">
        <is>
          <t>transcripciones/instagram-2026-09-14-cada-vez-que-te-peleas-con.md</t>
        </is>
      </c>
    </row>
    <row r="31">
      <c r="A31" s="29" t="n">
        <v>30</v>
      </c>
      <c r="B31" s="29" t="inlineStr">
        <is>
          <t>Instagram</t>
        </is>
      </c>
      <c r="C31" s="29" t="inlineStr">
        <is>
          <t>@quantumquip</t>
        </is>
      </c>
      <c r="D31" s="29" t="inlineStr">
        <is>
          <t>2026-09-24</t>
        </is>
      </c>
      <c r="E31" s="32" t="inlineStr">
        <is>
          <t>https://www.instagram.com/p/DdrZT_hBMqs/</t>
        </is>
      </c>
      <c r="F31" s="29" t="inlineStr">
        <is>
          <t>(caption) Controlarlo TODO y ganarle a la realidad es una batalla que no vas a ganar, NUNCA.</t>
        </is>
      </c>
      <c r="G31" s="29" t="inlineStr">
        <is>
          <t>G1 · Reencuadre</t>
        </is>
      </c>
      <c r="H31" s="29" t="inlineStr">
        <is>
          <t>Control / ansiedad</t>
        </is>
      </c>
      <c r="I31" s="29" t="inlineStr">
        <is>
          <t>Texto en pantalla + música</t>
        </is>
      </c>
      <c r="J31" s="29" t="inlineStr">
        <is>
          <t>5 s</t>
        </is>
      </c>
      <c r="K31" s="29" t="inlineStr">
        <is>
          <t>s/d</t>
        </is>
      </c>
      <c r="L31" s="29" t="inlineStr">
        <is>
          <t>s/d</t>
        </is>
      </c>
      <c r="M31" s="33" t="n">
        <v>24349</v>
      </c>
      <c r="N31" s="33" t="n">
        <v>4530</v>
      </c>
      <c r="O31" s="34">
        <f>IFERROR(M31/N31,"s/d")</f>
        <v/>
      </c>
      <c r="P31" s="29" t="inlineStr">
        <is>
          <t>P9 · Texto en pantalla + música (sin voz)</t>
        </is>
      </c>
      <c r="Q31" s="29" t="inlineStr">
        <is>
          <t>transcripciones/instagram-2026-09-24-controlarlo-todo-y-ganarle-a-la.md</t>
        </is>
      </c>
    </row>
    <row r="32">
      <c r="A32" s="29" t="n">
        <v>31</v>
      </c>
      <c r="B32" s="29" t="inlineStr">
        <is>
          <t>Instagram</t>
        </is>
      </c>
      <c r="C32" s="29" t="inlineStr">
        <is>
          <t>@quantumquip</t>
        </is>
      </c>
      <c r="D32" s="29" t="inlineStr">
        <is>
          <t>2026-09-17</t>
        </is>
      </c>
      <c r="E32" s="32" t="inlineStr">
        <is>
          <t>https://www.instagram.com/p/DdZUNPuBLso/</t>
        </is>
      </c>
      <c r="F32" s="29" t="inlineStr">
        <is>
          <t>(caption) Cuando dejas de identificarte con las identidades, historias y creencias de siempre… EVOLUCIONAS.</t>
        </is>
      </c>
      <c r="G32" s="29" t="inlineStr">
        <is>
          <t>G1 · Reencuadre</t>
        </is>
      </c>
      <c r="H32" s="29" t="inlineStr">
        <is>
          <t>Identidad / despertar</t>
        </is>
      </c>
      <c r="I32" s="29" t="inlineStr">
        <is>
          <t>Texto en pantalla + música</t>
        </is>
      </c>
      <c r="J32" s="29" t="inlineStr">
        <is>
          <t>6 s</t>
        </is>
      </c>
      <c r="K32" s="29" t="inlineStr">
        <is>
          <t>s/d</t>
        </is>
      </c>
      <c r="L32" s="29" t="inlineStr">
        <is>
          <t>s/d</t>
        </is>
      </c>
      <c r="M32" s="33" t="n">
        <v>24317</v>
      </c>
      <c r="N32" s="33" t="n">
        <v>4530</v>
      </c>
      <c r="O32" s="34">
        <f>IFERROR(M32/N32,"s/d")</f>
        <v/>
      </c>
      <c r="P32" s="29" t="inlineStr">
        <is>
          <t>P9 · Texto en pantalla + música (sin voz)</t>
        </is>
      </c>
      <c r="Q32" s="29" t="inlineStr">
        <is>
          <t>transcripciones/instagram-2026-09-17-cuando-dejas-de-identificarte-con-las.md</t>
        </is>
      </c>
    </row>
    <row r="33">
      <c r="A33" s="29" t="n">
        <v>32</v>
      </c>
      <c r="B33" s="29" t="inlineStr">
        <is>
          <t>TikTok</t>
        </is>
      </c>
      <c r="C33" s="29" t="inlineStr">
        <is>
          <t>@manifestadoras</t>
        </is>
      </c>
      <c r="D33" s="29" t="inlineStr">
        <is>
          <t>2022-01-21</t>
        </is>
      </c>
      <c r="E33" s="32" t="inlineStr">
        <is>
          <t>https://www.tiktok.com/@manifestadoras/video/7055677548180540678</t>
        </is>
      </c>
      <c r="F33" s="29" t="inlineStr">
        <is>
          <t>Hoy te voy a enseñar una técnica para que una persona se contacte con vos.</t>
        </is>
      </c>
      <c r="G33" s="29" t="inlineStr">
        <is>
          <t>G3 · Técnica paso a paso</t>
        </is>
      </c>
      <c r="H33" s="29" t="inlineStr">
        <is>
          <t>Relaciones / manifestar</t>
        </is>
      </c>
      <c r="I33" s="29" t="inlineStr">
        <is>
          <t>Cara a cámara + técnica guiada</t>
        </is>
      </c>
      <c r="J33" s="29" t="inlineStr">
        <is>
          <t>178 s</t>
        </is>
      </c>
      <c r="K33" s="29" t="inlineStr">
        <is>
          <t>Esperanza</t>
        </is>
      </c>
      <c r="L33" s="29" t="inlineStr">
        <is>
          <t>Cuéntame en comentarios si te funcionó</t>
        </is>
      </c>
      <c r="M33" s="33" t="n">
        <v>3600000</v>
      </c>
      <c r="N33" s="33" t="n">
        <v>674000</v>
      </c>
      <c r="O33" s="34">
        <f>IFERROR(M33/N33,"s/d")</f>
        <v/>
      </c>
      <c r="P33" s="29" t="inlineStr">
        <is>
          <t>P2 · Herramienta para usar ya (decreto, ritual, técnica)</t>
        </is>
      </c>
      <c r="Q33" s="29" t="inlineStr">
        <is>
          <t>transcripciones/tiktok-2022-01-21-hoy-te-voy-a-ensenar-una.md</t>
        </is>
      </c>
    </row>
    <row r="34">
      <c r="A34" s="29" t="n">
        <v>33</v>
      </c>
      <c r="B34" s="29" t="inlineStr">
        <is>
          <t>Instagram</t>
        </is>
      </c>
      <c r="C34" s="29" t="inlineStr">
        <is>
          <t>@quantumquip</t>
        </is>
      </c>
      <c r="D34" s="29" t="inlineStr">
        <is>
          <t>2026-09-02</t>
        </is>
      </c>
      <c r="E34" s="32" t="inlineStr">
        <is>
          <t>https://www.instagram.com/p/DcysjR-MHRc/</t>
        </is>
      </c>
      <c r="F34" s="29" t="inlineStr">
        <is>
          <t>(caption) ¿Ya estás dentro del Taller Sana tu Niño Interno?</t>
        </is>
      </c>
      <c r="G34" s="29" t="inlineStr">
        <is>
          <t>Anuncio</t>
        </is>
      </c>
      <c r="H34" s="29" t="inlineStr">
        <is>
          <t>Niño interno / taller</t>
        </is>
      </c>
      <c r="I34" s="29" t="inlineStr">
        <is>
          <t>Texto en pantalla + música</t>
        </is>
      </c>
      <c r="J34" s="29" t="inlineStr">
        <is>
          <t>11 s</t>
        </is>
      </c>
      <c r="K34" s="29" t="inlineStr">
        <is>
          <t>s/d</t>
        </is>
      </c>
      <c r="L34" s="29" t="inlineStr">
        <is>
          <t>Taller</t>
        </is>
      </c>
      <c r="M34" s="33" t="n">
        <v>23295</v>
      </c>
      <c r="N34" s="33" t="n">
        <v>4530</v>
      </c>
      <c r="O34" s="34">
        <f>IFERROR(M34/N34,"s/d")</f>
        <v/>
      </c>
      <c r="P34" s="29" t="inlineStr">
        <is>
          <t>P9 · Texto en pantalla + música (sin voz)</t>
        </is>
      </c>
      <c r="Q34" s="29" t="inlineStr">
        <is>
          <t>transcripciones/instagram-2026-09-02-ya-estas-dentro-del-taller-sana.md</t>
        </is>
      </c>
    </row>
    <row r="35">
      <c r="A35" s="29" t="n">
        <v>34</v>
      </c>
      <c r="B35" s="29" t="inlineStr">
        <is>
          <t>TikTok</t>
        </is>
      </c>
      <c r="C35" s="29" t="inlineStr">
        <is>
          <t>@soylizadebri</t>
        </is>
      </c>
      <c r="D35" s="29" t="inlineStr">
        <is>
          <t>2026-06-05</t>
        </is>
      </c>
      <c r="E35" s="32" t="inlineStr">
        <is>
          <t>https://www.tiktok.com/@soylizadebri/video/7647697725454109960</t>
        </is>
      </c>
      <c r="F35" s="29" t="inlineStr">
        <is>
          <t>No es que no te elijan, es que tu identidad está construida para que no te elijan.</t>
        </is>
      </c>
      <c r="G35" s="29" t="inlineStr">
        <is>
          <t>G1 · Reencuadre</t>
        </is>
      </c>
      <c r="H35" s="29" t="inlineStr">
        <is>
          <t>Relaciones / no me eligen</t>
        </is>
      </c>
      <c r="I35" s="29" t="inlineStr">
        <is>
          <t>Cara a cámara + anécdota</t>
        </is>
      </c>
      <c r="J35" s="29" t="inlineStr">
        <is>
          <t>246 s</t>
        </is>
      </c>
      <c r="K35" s="29" t="inlineStr">
        <is>
          <t>Sorpresa</t>
        </is>
      </c>
      <c r="L35" s="29" t="inlineStr">
        <is>
          <t>Reto de 21 días (link en perfil)</t>
        </is>
      </c>
      <c r="M35" s="33" t="n">
        <v>7200000</v>
      </c>
      <c r="N35" s="33" t="n">
        <v>1500000</v>
      </c>
      <c r="O35" s="34">
        <f>IFERROR(M35/N35,"s/d")</f>
        <v/>
      </c>
      <c r="P35" s="29" t="inlineStr">
        <is>
          <t>P1 · Romper creencia + nombre propio al problema</t>
        </is>
      </c>
      <c r="Q35" s="29" t="inlineStr">
        <is>
          <t>transcripciones/tiktok-2026-06-05-no-es-que-no-te-elijan.md</t>
        </is>
      </c>
    </row>
    <row r="36">
      <c r="A36" s="29" t="n">
        <v>35</v>
      </c>
      <c r="B36" s="29" t="inlineStr">
        <is>
          <t>Instagram</t>
        </is>
      </c>
      <c r="C36" s="29" t="inlineStr">
        <is>
          <t>@quantumquip</t>
        </is>
      </c>
      <c r="D36" s="29" t="inlineStr">
        <is>
          <t>2026-09-29</t>
        </is>
      </c>
      <c r="E36" s="32" t="inlineStr">
        <is>
          <t>https://www.instagram.com/p/Dd4JR9zgxlV/</t>
        </is>
      </c>
      <c r="F36" s="29" t="inlineStr">
        <is>
          <t>(caption) Perder personas durante tu proceso de evolución no es lo más doloroso que vas a experimentar…</t>
        </is>
      </c>
      <c r="G36" s="29" t="inlineStr">
        <is>
          <t>G1 · Reencuadre</t>
        </is>
      </c>
      <c r="H36" s="29" t="inlineStr">
        <is>
          <t>Relaciones / evolución</t>
        </is>
      </c>
      <c r="I36" s="29" t="inlineStr">
        <is>
          <t>Texto en pantalla + música</t>
        </is>
      </c>
      <c r="J36" s="29" t="inlineStr">
        <is>
          <t>5 s</t>
        </is>
      </c>
      <c r="K36" s="29" t="inlineStr">
        <is>
          <t>s/d</t>
        </is>
      </c>
      <c r="L36" s="29" t="inlineStr">
        <is>
          <t>s/d</t>
        </is>
      </c>
      <c r="M36" s="33" t="n">
        <v>18203</v>
      </c>
      <c r="N36" s="33" t="n">
        <v>4530</v>
      </c>
      <c r="O36" s="34">
        <f>IFERROR(M36/N36,"s/d")</f>
        <v/>
      </c>
      <c r="P36" s="29" t="inlineStr">
        <is>
          <t>P9 · Texto en pantalla + música (sin voz)</t>
        </is>
      </c>
      <c r="Q36" s="29" t="inlineStr">
        <is>
          <t>transcripciones/instagram-2026-09-29-perder-personas-durante-tu-proceso-de.md</t>
        </is>
      </c>
    </row>
    <row r="37">
      <c r="A37" s="29" t="n">
        <v>36</v>
      </c>
      <c r="B37" s="29" t="inlineStr">
        <is>
          <t>Instagram</t>
        </is>
      </c>
      <c r="C37" s="29" t="inlineStr">
        <is>
          <t>@danielacorreaup</t>
        </is>
      </c>
      <c r="D37" s="29" t="inlineStr">
        <is>
          <t>2026-08-30</t>
        </is>
      </c>
      <c r="E37" s="32" t="inlineStr">
        <is>
          <t>https://www.instagram.com/p/DcpbmGgtmyF/</t>
        </is>
      </c>
      <c r="F37" s="29" t="inlineStr">
        <is>
          <t>Quiero ganar mucho más dinero, entonces deja de hacerte pequeña…</t>
        </is>
      </c>
      <c r="G37" s="29" t="inlineStr">
        <is>
          <t>G1 · Reencuadre</t>
        </is>
      </c>
      <c r="H37" s="29" t="inlineStr">
        <is>
          <t>Dinero / TDAH</t>
        </is>
      </c>
      <c r="I37" s="29" t="inlineStr">
        <is>
          <t>Cara a cámara</t>
        </is>
      </c>
      <c r="J37" s="29" t="inlineStr">
        <is>
          <t>75 s</t>
        </is>
      </c>
      <c r="K37" s="29" t="inlineStr">
        <is>
          <t>Confrontación</t>
        </is>
      </c>
      <c r="L37" s="29" t="inlineStr">
        <is>
          <t>Comenta VIDEO</t>
        </is>
      </c>
      <c r="M37" s="33" t="n">
        <v>14986</v>
      </c>
      <c r="N37" s="33" t="n">
        <v>4071.5</v>
      </c>
      <c r="O37" s="34">
        <f>IFERROR(M37/N37,"s/d")</f>
        <v/>
      </c>
      <c r="P37" s="29" t="inlineStr">
        <is>
          <t>P1 · Romper creencia + nombre propio al problema</t>
        </is>
      </c>
      <c r="Q37" s="29" t="inlineStr">
        <is>
          <t>transcripciones/instagram-2026-08-30-todos-vivimos-situaciones-similares-pero-las.md</t>
        </is>
      </c>
    </row>
    <row r="38">
      <c r="A38" s="29" t="n">
        <v>37</v>
      </c>
      <c r="B38" s="29" t="inlineStr">
        <is>
          <t>Instagram</t>
        </is>
      </c>
      <c r="C38" s="29" t="inlineStr">
        <is>
          <t>@quantumquip</t>
        </is>
      </c>
      <c r="D38" s="29" t="inlineStr">
        <is>
          <t>2026-09-19</t>
        </is>
      </c>
      <c r="E38" s="32" t="inlineStr">
        <is>
          <t>https://www.instagram.com/p/Dde1nKMNHwT/</t>
        </is>
      </c>
      <c r="F38" s="29" t="inlineStr">
        <is>
          <t>(caption) Tal vez hayas sentido esa "libertad" una vez que dejaste esa relación, ese empleo…</t>
        </is>
      </c>
      <c r="G38" s="29" t="inlineStr">
        <is>
          <t>G4 · Espejo</t>
        </is>
      </c>
      <c r="H38" s="29" t="inlineStr">
        <is>
          <t>Cambio / huida</t>
        </is>
      </c>
      <c r="I38" s="29" t="inlineStr">
        <is>
          <t>Texto en pantalla + música</t>
        </is>
      </c>
      <c r="J38" s="29" t="inlineStr">
        <is>
          <t>5 s</t>
        </is>
      </c>
      <c r="K38" s="29" t="inlineStr">
        <is>
          <t>s/d</t>
        </is>
      </c>
      <c r="L38" s="29" t="inlineStr">
        <is>
          <t>s/d</t>
        </is>
      </c>
      <c r="M38" s="33" t="n">
        <v>16103</v>
      </c>
      <c r="N38" s="33" t="n">
        <v>4530</v>
      </c>
      <c r="O38" s="34">
        <f>IFERROR(M38/N38,"s/d")</f>
        <v/>
      </c>
      <c r="P38" s="29" t="inlineStr">
        <is>
          <t>P9 · Texto en pantalla + música (sin voz)</t>
        </is>
      </c>
      <c r="Q38" s="29" t="inlineStr">
        <is>
          <t>transcripciones/instagram-2026-09-19-tal-vez-hayas-sentido-esa-libertad.md</t>
        </is>
      </c>
    </row>
    <row r="39">
      <c r="A39" s="29" t="n">
        <v>38</v>
      </c>
      <c r="B39" s="29" t="inlineStr">
        <is>
          <t>TikTok</t>
        </is>
      </c>
      <c r="C39" s="29" t="inlineStr">
        <is>
          <t>@manifestadoras</t>
        </is>
      </c>
      <c r="D39" s="29" t="inlineStr">
        <is>
          <t>2023-10-11</t>
        </is>
      </c>
      <c r="E39" s="32" t="inlineStr">
        <is>
          <t>https://www.tiktok.com/@manifestadoras/video/7288714702434077958</t>
        </is>
      </c>
      <c r="F39" s="29" t="inlineStr">
        <is>
          <t>La frase "todos vuelven" es la prueba de que el desapego es la clave del magnetismo.</t>
        </is>
      </c>
      <c r="G39" s="29" t="inlineStr">
        <is>
          <t>G1 · Reencuadre</t>
        </is>
      </c>
      <c r="H39" s="29" t="inlineStr">
        <is>
          <t>Relaciones / ex</t>
        </is>
      </c>
      <c r="I39" s="29" t="inlineStr">
        <is>
          <t>Cara a cámara</t>
        </is>
      </c>
      <c r="J39" s="29" t="inlineStr">
        <is>
          <t>114 s</t>
        </is>
      </c>
      <c r="K39" s="29" t="inlineStr">
        <is>
          <t>Esperanza</t>
        </is>
      </c>
      <c r="L39" s="29" t="inlineStr">
        <is>
          <t>Membresía (link en perfil)</t>
        </is>
      </c>
      <c r="M39" s="33" t="n">
        <v>2300000</v>
      </c>
      <c r="N39" s="33" t="n">
        <v>674000</v>
      </c>
      <c r="O39" s="34">
        <f>IFERROR(M39/N39,"s/d")</f>
        <v/>
      </c>
      <c r="P39" s="29" t="inlineStr">
        <is>
          <t>P1 · Romper creencia + nombre propio al problema</t>
        </is>
      </c>
      <c r="Q39" s="29" t="inlineStr">
        <is>
          <t>transcripciones/tiktok-2023-10-11-la-frase-todos-vuelven-es-la.md</t>
        </is>
      </c>
    </row>
    <row r="40">
      <c r="A40" s="29" t="n">
        <v>39</v>
      </c>
      <c r="B40" s="29" t="inlineStr">
        <is>
          <t>TikTok</t>
        </is>
      </c>
      <c r="C40" s="29" t="inlineStr">
        <is>
          <t>@transformacion_acelerada</t>
        </is>
      </c>
      <c r="D40" s="29" t="inlineStr">
        <is>
          <t>2022-04-25</t>
        </is>
      </c>
      <c r="E40" s="32" t="inlineStr">
        <is>
          <t>https://www.tiktok.com/@transformacion_acelerada/video/7090658363779910917</t>
        </is>
      </c>
      <c r="F40" s="29" t="inlineStr">
        <is>
          <t>Te lo digo crudo y sin rodeos.</t>
        </is>
      </c>
      <c r="G40" s="29" t="inlineStr">
        <is>
          <t>G10 · Reacción / dúo</t>
        </is>
      </c>
      <c r="H40" s="29" t="inlineStr">
        <is>
          <t>Relaciones</t>
        </is>
      </c>
      <c r="I40" s="29" t="inlineStr">
        <is>
          <t>Dúo: pantalla dividida + carteles</t>
        </is>
      </c>
      <c r="J40" s="29" t="inlineStr">
        <is>
          <t>51 s</t>
        </is>
      </c>
      <c r="K40" s="29" t="inlineStr">
        <is>
          <t>Validación</t>
        </is>
      </c>
      <c r="L40" s="29" t="inlineStr">
        <is>
          <t>Coméntame un SÍ</t>
        </is>
      </c>
      <c r="M40" s="33" t="n">
        <v>1000000</v>
      </c>
      <c r="N40" s="33" t="n">
        <v>295900</v>
      </c>
      <c r="O40" s="34">
        <f>IFERROR(M40/N40,"s/d")</f>
        <v/>
      </c>
      <c r="P40" s="29" t="inlineStr">
        <is>
          <t>P4 · Reacción a video ajeno de dolor o polémica</t>
        </is>
      </c>
      <c r="Q40" s="29" t="inlineStr">
        <is>
          <t>transcripciones/tiktok-2022-04-25-te-lo-digo-crudo-y-sin-rodeos.md</t>
        </is>
      </c>
    </row>
    <row r="41">
      <c r="A41" s="29" t="n">
        <v>40</v>
      </c>
      <c r="B41" s="29" t="inlineStr">
        <is>
          <t>TikTok</t>
        </is>
      </c>
      <c r="C41" s="29" t="inlineStr">
        <is>
          <t>@manifestadoras</t>
        </is>
      </c>
      <c r="D41" s="29" t="inlineStr">
        <is>
          <t>2022-05-29</t>
        </is>
      </c>
      <c r="E41" s="32" t="inlineStr">
        <is>
          <t>https://www.tiktok.com/@manifestadoras/video/7103156957284011269</t>
        </is>
      </c>
      <c r="F41" s="29" t="inlineStr">
        <is>
          <t>La atracción es energética, no física.</t>
        </is>
      </c>
      <c r="G41" s="29" t="inlineStr">
        <is>
          <t>G1 · Reencuadre</t>
        </is>
      </c>
      <c r="H41" s="29" t="inlineStr">
        <is>
          <t>Relaciones</t>
        </is>
      </c>
      <c r="I41" s="29" t="inlineStr">
        <is>
          <t>Cara a cámara íntimo</t>
        </is>
      </c>
      <c r="J41" s="29" t="inlineStr">
        <is>
          <t>176 s</t>
        </is>
      </c>
      <c r="K41" s="29" t="inlineStr">
        <is>
          <t>Sorpresa</t>
        </is>
      </c>
      <c r="L41" s="29" t="inlineStr">
        <is>
          <t>Ninguno</t>
        </is>
      </c>
      <c r="M41" s="33" t="n">
        <v>2200000</v>
      </c>
      <c r="N41" s="33" t="n">
        <v>674000</v>
      </c>
      <c r="O41" s="34">
        <f>IFERROR(M41/N41,"s/d")</f>
        <v/>
      </c>
      <c r="P41" s="29" t="inlineStr">
        <is>
          <t>P1 · Romper creencia + nombre propio al problema</t>
        </is>
      </c>
      <c r="Q41" s="29" t="inlineStr">
        <is>
          <t>transcripciones/tiktok-2022-05-29-la-atraccion-es-energetica-no-fisica.md</t>
        </is>
      </c>
    </row>
    <row r="42">
      <c r="A42" s="29" t="n">
        <v>41</v>
      </c>
      <c r="B42" s="29" t="inlineStr">
        <is>
          <t>TikTok</t>
        </is>
      </c>
      <c r="C42" s="29" t="inlineStr">
        <is>
          <t>@transformacion_acelerada</t>
        </is>
      </c>
      <c r="D42" s="29" t="inlineStr">
        <is>
          <t>2024-04-21</t>
        </is>
      </c>
      <c r="E42" s="32" t="inlineStr">
        <is>
          <t>https://www.tiktok.com/@transformacion_acelerada/video/7360331779762343173</t>
        </is>
      </c>
      <c r="F42" s="29" t="inlineStr">
        <is>
          <t>Tus hijos no son tu razón para quedarte, son tu pretexto.</t>
        </is>
      </c>
      <c r="G42" s="29" t="inlineStr">
        <is>
          <t>G1 · Reencuadre</t>
        </is>
      </c>
      <c r="H42" s="29" t="inlineStr">
        <is>
          <t>Relaciones / maternidad</t>
        </is>
      </c>
      <c r="I42" s="29" t="inlineStr">
        <is>
          <t>Cara a cámara + carteles numerados</t>
        </is>
      </c>
      <c r="J42" s="29" t="inlineStr">
        <is>
          <t>155 s</t>
        </is>
      </c>
      <c r="K42" s="29" t="inlineStr">
        <is>
          <t>Confrontación</t>
        </is>
      </c>
      <c r="L42" s="29" t="inlineStr">
        <is>
          <t>Ninguno</t>
        </is>
      </c>
      <c r="M42" s="33" t="n">
        <v>954700</v>
      </c>
      <c r="N42" s="33" t="n">
        <v>295900</v>
      </c>
      <c r="O42" s="34">
        <f>IFERROR(M42/N42,"s/d")</f>
        <v/>
      </c>
      <c r="P42" s="29" t="inlineStr">
        <is>
          <t>P1 · Romper creencia + nombre propio al problema</t>
        </is>
      </c>
      <c r="Q42" s="29" t="inlineStr">
        <is>
          <t>transcripciones/tiktok-2024-04-21-tus-hijos-no-son-tu-razon.md</t>
        </is>
      </c>
    </row>
    <row r="43">
      <c r="A43" s="29" t="n">
        <v>42</v>
      </c>
      <c r="B43" s="29" t="inlineStr">
        <is>
          <t>TikTok</t>
        </is>
      </c>
      <c r="C43" s="29" t="inlineStr">
        <is>
          <t>@soylizadebri</t>
        </is>
      </c>
      <c r="D43" s="29" t="inlineStr">
        <is>
          <t>2026-02-07</t>
        </is>
      </c>
      <c r="E43" s="32" t="inlineStr">
        <is>
          <t>https://www.tiktok.com/@soylizadebri/video/7604271995743866130</t>
        </is>
      </c>
      <c r="F43" s="29" t="inlineStr">
        <is>
          <t>Mi mayor turn off de las muchachas es cuando tienen Instagram… (video ajeno)</t>
        </is>
      </c>
      <c r="G43" s="29" t="inlineStr">
        <is>
          <t>G10 · Reacción / stitch</t>
        </is>
      </c>
      <c r="H43" s="29" t="inlineStr">
        <is>
          <t>Relaciones / autonomía</t>
        </is>
      </c>
      <c r="I43" s="29" t="inlineStr">
        <is>
          <t>Reacción intercalada</t>
        </is>
      </c>
      <c r="J43" s="29" t="inlineStr">
        <is>
          <t>298 s</t>
        </is>
      </c>
      <c r="K43" s="29" t="inlineStr">
        <is>
          <t>Indignación</t>
        </is>
      </c>
      <c r="L43" s="29" t="inlineStr">
        <is>
          <t>Ninguno</t>
        </is>
      </c>
      <c r="M43" s="33" t="n">
        <v>4800000</v>
      </c>
      <c r="N43" s="33" t="n">
        <v>1500000</v>
      </c>
      <c r="O43" s="34">
        <f>IFERROR(M43/N43,"s/d")</f>
        <v/>
      </c>
      <c r="P43" s="29" t="inlineStr">
        <is>
          <t>P4 · Reacción a video ajeno de dolor o polémica</t>
        </is>
      </c>
      <c r="Q43" s="29" t="inlineStr">
        <is>
          <t>transcripciones/tiktok-2026-02-07-reaccion-turn-off-mujeres-que-viajan-solas.md</t>
        </is>
      </c>
    </row>
    <row r="44">
      <c r="A44" s="29" t="n">
        <v>43</v>
      </c>
      <c r="B44" s="29" t="inlineStr">
        <is>
          <t>TikTok</t>
        </is>
      </c>
      <c r="C44" s="29" t="inlineStr">
        <is>
          <t>@soylizadebri</t>
        </is>
      </c>
      <c r="D44" s="29" t="inlineStr">
        <is>
          <t>2025-02-17</t>
        </is>
      </c>
      <c r="E44" s="32" t="inlineStr">
        <is>
          <t>https://www.tiktok.com/@soylizadebri/video/7472436568557489414</t>
        </is>
      </c>
      <c r="F44" s="29" t="inlineStr">
        <is>
          <t>Solo voy a tirar un facto de persona que se ha operado.</t>
        </is>
      </c>
      <c r="G44" s="29" t="inlineStr">
        <is>
          <t>G11 · Confesión + polémica</t>
        </is>
      </c>
      <c r="H44" s="29" t="inlineStr">
        <is>
          <t>Cuerpo / críticas</t>
        </is>
      </c>
      <c r="I44" s="29" t="inlineStr">
        <is>
          <t>Cara a cámara</t>
        </is>
      </c>
      <c r="J44" s="29" t="inlineStr">
        <is>
          <t>161 s</t>
        </is>
      </c>
      <c r="K44" s="29" t="inlineStr">
        <is>
          <t>Polémica</t>
        </is>
      </c>
      <c r="L44" s="29" t="inlineStr">
        <is>
          <t>Ninguno</t>
        </is>
      </c>
      <c r="M44" s="33" t="n">
        <v>4600000</v>
      </c>
      <c r="N44" s="33" t="n">
        <v>1500000</v>
      </c>
      <c r="O44" s="34">
        <f>IFERROR(M44/N44,"s/d")</f>
        <v/>
      </c>
      <c r="P44" s="29" t="inlineStr">
        <is>
          <t>P4 · Reacción a video ajeno de dolor o polémica</t>
        </is>
      </c>
      <c r="Q44" s="29" t="inlineStr">
        <is>
          <t>transcripciones/tiktok-2025-02-17-solo-voy-a-tirar-un-facto.md</t>
        </is>
      </c>
    </row>
    <row r="45">
      <c r="A45" s="29" t="n">
        <v>44</v>
      </c>
      <c r="B45" s="29" t="inlineStr">
        <is>
          <t>Instagram</t>
        </is>
      </c>
      <c r="C45" s="29" t="inlineStr">
        <is>
          <t>@quantumquip</t>
        </is>
      </c>
      <c r="D45" s="29" t="inlineStr">
        <is>
          <t>2026-09-07</t>
        </is>
      </c>
      <c r="E45" s="32" t="inlineStr">
        <is>
          <t>https://www.instagram.com/p/Dc-BvqcP2qM/</t>
        </is>
      </c>
      <c r="F45" s="29" t="inlineStr">
        <is>
          <t>(caption) Si en tu familia te llaman "rebelde", "difícil", "incómodx", no te sientas mal…</t>
        </is>
      </c>
      <c r="G45" s="29" t="inlineStr">
        <is>
          <t>G1 · Reencuadre</t>
        </is>
      </c>
      <c r="H45" s="29" t="inlineStr">
        <is>
          <t>Familia / identidad</t>
        </is>
      </c>
      <c r="I45" s="29" t="inlineStr">
        <is>
          <t>Texto en pantalla + música</t>
        </is>
      </c>
      <c r="J45" s="29" t="inlineStr">
        <is>
          <t>7 s</t>
        </is>
      </c>
      <c r="K45" s="29" t="inlineStr">
        <is>
          <t>s/d</t>
        </is>
      </c>
      <c r="L45" s="29" t="inlineStr">
        <is>
          <t>s/d</t>
        </is>
      </c>
      <c r="M45" s="33" t="n">
        <v>13212</v>
      </c>
      <c r="N45" s="33" t="n">
        <v>4530</v>
      </c>
      <c r="O45" s="34">
        <f>IFERROR(M45/N45,"s/d")</f>
        <v/>
      </c>
      <c r="P45" s="29" t="inlineStr">
        <is>
          <t>P9 · Texto en pantalla + música (sin voz)</t>
        </is>
      </c>
      <c r="Q45" s="29" t="inlineStr">
        <is>
          <t>transcripciones/instagram-2026-09-07-si-en-tu-familia-te-llaman.md</t>
        </is>
      </c>
    </row>
    <row r="46">
      <c r="A46" s="29" t="n">
        <v>45</v>
      </c>
      <c r="B46" s="29" t="inlineStr">
        <is>
          <t>Instagram</t>
        </is>
      </c>
      <c r="C46" s="29" t="inlineStr">
        <is>
          <t>@quantumquip</t>
        </is>
      </c>
      <c r="D46" s="29" t="inlineStr">
        <is>
          <t>2026-08-29</t>
        </is>
      </c>
      <c r="E46" s="32" t="inlineStr">
        <is>
          <t>https://www.instagram.com/p/DcoYlduu25D/</t>
        </is>
      </c>
      <c r="F46" s="29" t="inlineStr">
        <is>
          <t>(caption) Las únicas señales que las heridas emocionales te dan son los triggers.</t>
        </is>
      </c>
      <c r="G46" s="29" t="inlineStr">
        <is>
          <t>G1 · Reencuadre</t>
        </is>
      </c>
      <c r="H46" s="29" t="inlineStr">
        <is>
          <t>Heridas / sanación</t>
        </is>
      </c>
      <c r="I46" s="29" t="inlineStr">
        <is>
          <t>Texto en pantalla + música</t>
        </is>
      </c>
      <c r="J46" s="29" t="inlineStr">
        <is>
          <t>10 s</t>
        </is>
      </c>
      <c r="K46" s="29" t="inlineStr">
        <is>
          <t>s/d</t>
        </is>
      </c>
      <c r="L46" s="29" t="inlineStr">
        <is>
          <t>s/d</t>
        </is>
      </c>
      <c r="M46" s="33" t="n">
        <v>12868</v>
      </c>
      <c r="N46" s="33" t="n">
        <v>4530</v>
      </c>
      <c r="O46" s="34">
        <f>IFERROR(M46/N46,"s/d")</f>
        <v/>
      </c>
      <c r="P46" s="29" t="inlineStr">
        <is>
          <t>P9 · Texto en pantalla + música (sin voz)</t>
        </is>
      </c>
      <c r="Q46" s="29" t="inlineStr">
        <is>
          <t>transcripciones/instagram-2026-08-29-las-unicas-senales-que-las-heridas.md</t>
        </is>
      </c>
    </row>
    <row r="47">
      <c r="A47" s="29" t="n">
        <v>46</v>
      </c>
      <c r="B47" s="29" t="inlineStr">
        <is>
          <t>Instagram</t>
        </is>
      </c>
      <c r="C47" s="29" t="inlineStr">
        <is>
          <t>@danielacorreaup</t>
        </is>
      </c>
      <c r="D47" s="29" t="inlineStr">
        <is>
          <t>2026-08-24</t>
        </is>
      </c>
      <c r="E47" s="32" t="inlineStr">
        <is>
          <t>https://www.instagram.com/p/DcaAYovNh1c/</t>
        </is>
      </c>
      <c r="F47" s="29" t="inlineStr">
        <is>
          <t>¿Te ha pasado que dicen que te estás dejando?</t>
        </is>
      </c>
      <c r="G47" s="29" t="inlineStr">
        <is>
          <t>G5 · Espejo</t>
        </is>
      </c>
      <c r="H47" s="29" t="inlineStr">
        <is>
          <t>Autoestima / juicio ajeno</t>
        </is>
      </c>
      <c r="I47" s="29" t="inlineStr">
        <is>
          <t>Cara a cámara</t>
        </is>
      </c>
      <c r="J47" s="29" t="inlineStr">
        <is>
          <t>60 s</t>
        </is>
      </c>
      <c r="K47" s="29" t="inlineStr">
        <is>
          <t>Identificación</t>
        </is>
      </c>
      <c r="L47" s="29" t="inlineStr">
        <is>
          <t>Ninguno</t>
        </is>
      </c>
      <c r="M47" s="33" t="n">
        <v>11245</v>
      </c>
      <c r="N47" s="33" t="n">
        <v>4071.5</v>
      </c>
      <c r="O47" s="34">
        <f>IFERROR(M47/N47,"s/d")</f>
        <v/>
      </c>
      <c r="P47" s="29" t="inlineStr">
        <is>
          <t>P5 · Lista o espejo de señales</t>
        </is>
      </c>
      <c r="Q47" s="29" t="inlineStr">
        <is>
          <t>transcripciones/instagram-2026-08-24-hagas-lo-que-hagas-siempre-te.md</t>
        </is>
      </c>
    </row>
    <row r="48">
      <c r="A48" s="29" t="n">
        <v>47</v>
      </c>
      <c r="B48" s="29" t="inlineStr">
        <is>
          <t>TikTok</t>
        </is>
      </c>
      <c r="C48" s="29" t="inlineStr">
        <is>
          <t>@soylizadebri</t>
        </is>
      </c>
      <c r="D48" s="29" t="inlineStr">
        <is>
          <t>2026-04-21</t>
        </is>
      </c>
      <c r="E48" s="32" t="inlineStr">
        <is>
          <t>https://www.tiktok.com/@soylizadebri/video/7631305601934462215</t>
        </is>
      </c>
      <c r="F48" s="29" t="inlineStr">
        <is>
          <t>Me han amado, pero nunca me han elegido. (video ajeno) / ¿Eres la mujer que todo el mundo quiere pero no se quedan?</t>
        </is>
      </c>
      <c r="G48" s="29" t="inlineStr">
        <is>
          <t>G10 · Reacción + G4</t>
        </is>
      </c>
      <c r="H48" s="29" t="inlineStr">
        <is>
          <t>Relaciones / no me eligen</t>
        </is>
      </c>
      <c r="I48" s="29" t="inlineStr">
        <is>
          <t>Pantalla verde + cara a cámara largo</t>
        </is>
      </c>
      <c r="J48" s="29" t="inlineStr">
        <is>
          <t>429 s</t>
        </is>
      </c>
      <c r="K48" s="29" t="inlineStr">
        <is>
          <t>Identificación</t>
        </is>
      </c>
      <c r="L48" s="29" t="inlineStr">
        <is>
          <t>Reto de 21 días (link en perfil)</t>
        </is>
      </c>
      <c r="M48" s="33" t="n">
        <v>4100000</v>
      </c>
      <c r="N48" s="33" t="n">
        <v>1500000</v>
      </c>
      <c r="O48" s="34">
        <f>IFERROR(M48/N48,"s/d")</f>
        <v/>
      </c>
      <c r="P48" s="29" t="inlineStr">
        <is>
          <t>P4 · Reacción a video ajeno de dolor o polémica</t>
        </is>
      </c>
      <c r="Q48" s="29" t="inlineStr">
        <is>
          <t>transcripciones/tiktok-2026-04-21-eres-la-mujer-que-nunca-eligen.md</t>
        </is>
      </c>
    </row>
    <row r="49">
      <c r="A49" s="29" t="n">
        <v>48</v>
      </c>
      <c r="B49" s="29" t="inlineStr">
        <is>
          <t>TikTok</t>
        </is>
      </c>
      <c r="C49" s="29" t="inlineStr">
        <is>
          <t>@manifestadoras</t>
        </is>
      </c>
      <c r="D49" s="29" t="inlineStr">
        <is>
          <t>2023-08-20</t>
        </is>
      </c>
      <c r="E49" s="32" t="inlineStr">
        <is>
          <t>https://www.tiktok.com/@manifestadoras/video/7269511948922866950</t>
        </is>
      </c>
      <c r="F49" s="29" t="inlineStr">
        <is>
          <t>Vamos a hablar de cómo sanar la herida de abandono… la persona no es tu tipo, es tu trauma.</t>
        </is>
      </c>
      <c r="G49" s="29" t="inlineStr">
        <is>
          <t>G1 · Reencuadre</t>
        </is>
      </c>
      <c r="H49" s="29" t="inlineStr">
        <is>
          <t>Relaciones / abandono</t>
        </is>
      </c>
      <c r="I49" s="29" t="inlineStr">
        <is>
          <t>Cara a cámara largo (8 min)</t>
        </is>
      </c>
      <c r="J49" s="29" t="inlineStr">
        <is>
          <t>475 s</t>
        </is>
      </c>
      <c r="K49" s="29" t="inlineStr">
        <is>
          <t>Identificación</t>
        </is>
      </c>
      <c r="L49" s="29" t="inlineStr">
        <is>
          <t>Ninguno</t>
        </is>
      </c>
      <c r="M49" s="33" t="n">
        <v>1800000</v>
      </c>
      <c r="N49" s="33" t="n">
        <v>674000</v>
      </c>
      <c r="O49" s="34">
        <f>IFERROR(M49/N49,"s/d")</f>
        <v/>
      </c>
      <c r="P49" s="29" t="inlineStr">
        <is>
          <t>P1 · Romper creencia + nombre propio al problema</t>
        </is>
      </c>
      <c r="Q49" s="29" t="inlineStr">
        <is>
          <t>transcripciones/tiktok-2023-08-20-vamos-a-hablar-de-como-sanar.md</t>
        </is>
      </c>
    </row>
    <row r="50">
      <c r="A50" s="29" t="n">
        <v>49</v>
      </c>
      <c r="B50" s="29" t="inlineStr">
        <is>
          <t>TikTok</t>
        </is>
      </c>
      <c r="C50" s="29" t="inlineStr">
        <is>
          <t>@soylizadebri</t>
        </is>
      </c>
      <c r="D50" s="29" t="inlineStr">
        <is>
          <t>2026-06-20</t>
        </is>
      </c>
      <c r="E50" s="32" t="inlineStr">
        <is>
          <t>https://www.tiktok.com/@soylizadebri/video/7653600946005511432</t>
        </is>
      </c>
      <c r="F50" s="29" t="inlineStr">
        <is>
          <t>¿Cómo no voy a pensar que el problema sea yo si nunca me eligen? (video ajeno llorando)</t>
        </is>
      </c>
      <c r="G50" s="29" t="inlineStr">
        <is>
          <t>G10 · Reacción + G4</t>
        </is>
      </c>
      <c r="H50" s="29" t="inlineStr">
        <is>
          <t>Relaciones / no me eligen</t>
        </is>
      </c>
      <c r="I50" s="29" t="inlineStr">
        <is>
          <t>Pantalla verde + cara a cámara largo</t>
        </is>
      </c>
      <c r="J50" s="29" t="inlineStr">
        <is>
          <t>456 s</t>
        </is>
      </c>
      <c r="K50" s="29" t="inlineStr">
        <is>
          <t>Identificación</t>
        </is>
      </c>
      <c r="L50" s="29" t="inlineStr">
        <is>
          <t>Reto de 21 días (link en perfil)</t>
        </is>
      </c>
      <c r="M50" s="33" t="n">
        <v>4000000</v>
      </c>
      <c r="N50" s="33" t="n">
        <v>1500000</v>
      </c>
      <c r="O50" s="34">
        <f>IFERROR(M50/N50,"s/d")</f>
        <v/>
      </c>
      <c r="P50" s="29" t="inlineStr">
        <is>
          <t>P4 · Reacción a video ajeno de dolor o polémica</t>
        </is>
      </c>
      <c r="Q50" s="29" t="inlineStr">
        <is>
          <t>transcripciones/tiktok-2026-06-20-por-que-eres-la-mujer-a-la-que-nunca-eligen.md</t>
        </is>
      </c>
    </row>
    <row r="51">
      <c r="A51" s="29" t="n">
        <v>50</v>
      </c>
      <c r="B51" s="29" t="inlineStr">
        <is>
          <t>Instagram</t>
        </is>
      </c>
      <c r="C51" s="29" t="inlineStr">
        <is>
          <t>@quantumquip</t>
        </is>
      </c>
      <c r="D51" s="29" t="inlineStr">
        <is>
          <t>2026-09-27</t>
        </is>
      </c>
      <c r="E51" s="32" t="inlineStr">
        <is>
          <t>https://www.instagram.com/p/Ddy9JVOpxcU/</t>
        </is>
      </c>
      <c r="F51" s="29" t="inlineStr">
        <is>
          <t>Cuando no sabes sostener lo que sientes, tampoco vas a poder cargar con los deseos del corazón.</t>
        </is>
      </c>
      <c r="G51" s="29" t="inlineStr">
        <is>
          <t>G1 · Reencuadre</t>
        </is>
      </c>
      <c r="H51" s="29" t="inlineStr">
        <is>
          <t>Deseos / emociones</t>
        </is>
      </c>
      <c r="I51" s="29" t="inlineStr">
        <is>
          <t>Cara a cámara largo</t>
        </is>
      </c>
      <c r="J51" s="29" t="inlineStr">
        <is>
          <t>166 s</t>
        </is>
      </c>
      <c r="K51" s="29" t="inlineStr">
        <is>
          <t>Confrontación</t>
        </is>
      </c>
      <c r="L51" s="29" t="inlineStr">
        <is>
          <t>Comenta SESIÓN</t>
        </is>
      </c>
      <c r="M51" s="33" t="n">
        <v>11866</v>
      </c>
      <c r="N51" s="33" t="n">
        <v>4530</v>
      </c>
      <c r="O51" s="34">
        <f>IFERROR(M51/N51,"s/d")</f>
        <v/>
      </c>
      <c r="P51" s="29" t="inlineStr">
        <is>
          <t>P1 · Romper creencia + nombre propio al problema</t>
        </is>
      </c>
      <c r="Q51" s="29" t="inlineStr">
        <is>
          <t>transcripciones/instagram-2026-09-27-hay-una-diferencia-brutal-entre-desear.md</t>
        </is>
      </c>
    </row>
    <row r="52">
      <c r="A52" s="29" t="n">
        <v>51</v>
      </c>
      <c r="B52" s="29" t="inlineStr">
        <is>
          <t>Instagram</t>
        </is>
      </c>
      <c r="C52" s="29" t="inlineStr">
        <is>
          <t>@quantumquip</t>
        </is>
      </c>
      <c r="D52" s="29" t="inlineStr">
        <is>
          <t>2026-10-02</t>
        </is>
      </c>
      <c r="E52" s="32" t="inlineStr">
        <is>
          <t>https://www.instagram.com/p/DeAC0yMNK6c/</t>
        </is>
      </c>
      <c r="F52" s="29" t="inlineStr">
        <is>
          <t>Vengo a romper el gran mito que hay alrededor de sanar.</t>
        </is>
      </c>
      <c r="G52" s="29" t="inlineStr">
        <is>
          <t>G1 · Reencuadre</t>
        </is>
      </c>
      <c r="H52" s="29" t="inlineStr">
        <is>
          <t>Sanación</t>
        </is>
      </c>
      <c r="I52" s="29" t="inlineStr">
        <is>
          <t>Cara a cámara largo</t>
        </is>
      </c>
      <c r="J52" s="29" t="inlineStr">
        <is>
          <t>142 s</t>
        </is>
      </c>
      <c r="K52" s="29" t="inlineStr">
        <is>
          <t>Alivio</t>
        </is>
      </c>
      <c r="L52" s="29" t="inlineStr">
        <is>
          <t>Comenta QLT</t>
        </is>
      </c>
      <c r="M52" s="33" t="n">
        <v>11494</v>
      </c>
      <c r="N52" s="33" t="n">
        <v>4530</v>
      </c>
      <c r="O52" s="34">
        <f>IFERROR(M52/N52,"s/d")</f>
        <v/>
      </c>
      <c r="P52" s="29" t="inlineStr">
        <is>
          <t>P1 · Romper creencia + nombre propio al problema</t>
        </is>
      </c>
      <c r="Q52" s="29" t="inlineStr">
        <is>
          <t>transcripciones/instagram-2026-10-02-puedes-pasar-anos-buscando-la-tecnica.md</t>
        </is>
      </c>
    </row>
    <row r="53">
      <c r="A53" s="29" t="n">
        <v>52</v>
      </c>
      <c r="B53" s="29" t="inlineStr">
        <is>
          <t>TikTok</t>
        </is>
      </c>
      <c r="C53" s="29" t="inlineStr">
        <is>
          <t>@manifestadoras</t>
        </is>
      </c>
      <c r="D53" s="29" t="inlineStr">
        <is>
          <t>2023-02-22</t>
        </is>
      </c>
      <c r="E53" s="32" t="inlineStr">
        <is>
          <t>https://www.tiktok.com/@manifestadoras/video/7202984141573344517</t>
        </is>
      </c>
      <c r="F53" s="29" t="inlineStr">
        <is>
          <t>Todo el mundo habla del lucky girl syndrome, pero nadie te explica cómo convertirte en esa chica.</t>
        </is>
      </c>
      <c r="G53" s="29" t="inlineStr">
        <is>
          <t>G3 · Técnica paso a paso</t>
        </is>
      </c>
      <c r="H53" s="29" t="inlineStr">
        <is>
          <t>Manifestación / suerte</t>
        </is>
      </c>
      <c r="I53" s="29" t="inlineStr">
        <is>
          <t>Cara a cámara + pantalla de laptop</t>
        </is>
      </c>
      <c r="J53" s="29" t="inlineStr">
        <is>
          <t>177 s</t>
        </is>
      </c>
      <c r="K53" s="29" t="inlineStr">
        <is>
          <t>Curiosidad</t>
        </is>
      </c>
      <c r="L53" s="29" t="inlineStr">
        <is>
          <t>Canal de YouTube</t>
        </is>
      </c>
      <c r="M53" s="33" t="n">
        <v>1700000</v>
      </c>
      <c r="N53" s="33" t="n">
        <v>674000</v>
      </c>
      <c r="O53" s="34">
        <f>IFERROR(M53/N53,"s/d")</f>
        <v/>
      </c>
      <c r="P53" s="29" t="inlineStr">
        <is>
          <t>P2 · Herramienta para usar ya (decreto, ritual, técnica)</t>
        </is>
      </c>
      <c r="Q53" s="29" t="inlineStr">
        <is>
          <t>transcripciones/tiktok-2023-02-22-todo-el-mundo-habla-del-lucky.md</t>
        </is>
      </c>
    </row>
    <row r="54">
      <c r="A54" s="29" t="n">
        <v>53</v>
      </c>
      <c r="B54" s="29" t="inlineStr">
        <is>
          <t>Instagram</t>
        </is>
      </c>
      <c r="C54" s="29" t="inlineStr">
        <is>
          <t>@danielacorreaup</t>
        </is>
      </c>
      <c r="D54" s="29" t="inlineStr">
        <is>
          <t>2026-09-19</t>
        </is>
      </c>
      <c r="E54" s="32" t="inlineStr">
        <is>
          <t>https://www.instagram.com/p/DdcrJSjttQ2/</t>
        </is>
      </c>
      <c r="F54" s="29" t="inlineStr">
        <is>
          <t>No fue tu responsabilidad que ciertas cosas pasaran, pero sí es tu responsabilidad qué haces con ellas ahora.</t>
        </is>
      </c>
      <c r="G54" s="29" t="inlineStr">
        <is>
          <t>G1 · Reencuadre</t>
        </is>
      </c>
      <c r="H54" s="29" t="inlineStr">
        <is>
          <t>Neurodivergencia / responsabilidad</t>
        </is>
      </c>
      <c r="I54" s="29" t="inlineStr">
        <is>
          <t>Cara a cámara</t>
        </is>
      </c>
      <c r="J54" s="29" t="inlineStr">
        <is>
          <t>77 s</t>
        </is>
      </c>
      <c r="K54" s="29" t="inlineStr">
        <is>
          <t>Alivio</t>
        </is>
      </c>
      <c r="L54" s="29" t="inlineStr">
        <is>
          <t>Comenta PODER</t>
        </is>
      </c>
      <c r="M54" s="33" t="n">
        <v>9799</v>
      </c>
      <c r="N54" s="33" t="n">
        <v>4071.5</v>
      </c>
      <c r="O54" s="34">
        <f>IFERROR(M54/N54,"s/d")</f>
        <v/>
      </c>
      <c r="P54" s="29" t="inlineStr">
        <is>
          <t>P1 · Romper creencia + nombre propio al problema</t>
        </is>
      </c>
      <c r="Q54" s="29" t="inlineStr">
        <is>
          <t>transcripciones/instagram-2026-09-19-no-fue-tu-responsabilidad-que-ciertas.md</t>
        </is>
      </c>
    </row>
    <row r="55">
      <c r="A55" s="29" t="n">
        <v>54</v>
      </c>
      <c r="B55" s="29" t="inlineStr">
        <is>
          <t>Instagram</t>
        </is>
      </c>
      <c r="C55" s="29" t="inlineStr">
        <is>
          <t>@danielacorreaup</t>
        </is>
      </c>
      <c r="D55" s="29" t="inlineStr">
        <is>
          <t>2026-09-02</t>
        </is>
      </c>
      <c r="E55" s="32" t="inlineStr">
        <is>
          <t>https://www.instagram.com/p/DczOVOfsJo6/</t>
        </is>
      </c>
      <c r="F55" s="29" t="inlineStr">
        <is>
          <t>Las personas ricas no tienen más disciplina, tienen una idea diferente de lo que es normal.</t>
        </is>
      </c>
      <c r="G55" s="29" t="inlineStr">
        <is>
          <t>G1 · Reencuadre</t>
        </is>
      </c>
      <c r="H55" s="29" t="inlineStr">
        <is>
          <t>Dinero</t>
        </is>
      </c>
      <c r="I55" s="29" t="inlineStr">
        <is>
          <t>Cara a cámara</t>
        </is>
      </c>
      <c r="J55" s="29" t="inlineStr">
        <is>
          <t>60 s</t>
        </is>
      </c>
      <c r="K55" s="29" t="inlineStr">
        <is>
          <t>Sorpresa</t>
        </is>
      </c>
      <c r="L55" s="29" t="inlineStr">
        <is>
          <t>Ninguno</t>
        </is>
      </c>
      <c r="M55" s="33" t="n">
        <v>9481</v>
      </c>
      <c r="N55" s="33" t="n">
        <v>4071.5</v>
      </c>
      <c r="O55" s="34">
        <f>IFERROR(M55/N55,"s/d")</f>
        <v/>
      </c>
      <c r="P55" s="29" t="inlineStr">
        <is>
          <t>P1 · Romper creencia + nombre propio al problema</t>
        </is>
      </c>
      <c r="Q55" s="29" t="inlineStr">
        <is>
          <t>transcripciones/instagram-2026-09-02-la-mayoria-de-las-personas-ricas.md</t>
        </is>
      </c>
    </row>
    <row r="56">
      <c r="A56" s="29" t="n">
        <v>55</v>
      </c>
      <c r="B56" s="29" t="inlineStr">
        <is>
          <t>Instagram</t>
        </is>
      </c>
      <c r="C56" s="29" t="inlineStr">
        <is>
          <t>@danielacorreaup</t>
        </is>
      </c>
      <c r="D56" s="29" t="inlineStr">
        <is>
          <t>2026-09-18</t>
        </is>
      </c>
      <c r="E56" s="32" t="inlineStr">
        <is>
          <t>https://www.instagram.com/p/DdaQdkCNeLr/</t>
        </is>
      </c>
      <c r="F56" s="29" t="inlineStr">
        <is>
          <t>¿Tienes TDAH y sigues diciendo "así soy yo"?</t>
        </is>
      </c>
      <c r="G56" s="29" t="inlineStr">
        <is>
          <t>G4 · Pregunta-dolor</t>
        </is>
      </c>
      <c r="H56" s="29" t="inlineStr">
        <is>
          <t>TDAH / responsabilidad</t>
        </is>
      </c>
      <c r="I56" s="29" t="inlineStr">
        <is>
          <t>Cara a cámara</t>
        </is>
      </c>
      <c r="J56" s="29" t="inlineStr">
        <is>
          <t>84 s</t>
        </is>
      </c>
      <c r="K56" s="29" t="inlineStr">
        <is>
          <t>Confrontación</t>
        </is>
      </c>
      <c r="L56" s="29" t="inlineStr">
        <is>
          <t>Comenta PODER</t>
        </is>
      </c>
      <c r="M56" s="33" t="n">
        <v>9366</v>
      </c>
      <c r="N56" s="33" t="n">
        <v>4071.5</v>
      </c>
      <c r="O56" s="34">
        <f>IFERROR(M56/N56,"s/d")</f>
        <v/>
      </c>
      <c r="P56" s="29" t="inlineStr">
        <is>
          <t>P3 · Dolor en sus palabras + explicación</t>
        </is>
      </c>
      <c r="Q56" s="29" t="inlineStr">
        <is>
          <t>transcripciones/instagram-2026-09-18-comenta-poder-y-te-envio-el.md</t>
        </is>
      </c>
    </row>
    <row r="57">
      <c r="A57" s="29" t="n">
        <v>56</v>
      </c>
      <c r="B57" s="29" t="inlineStr">
        <is>
          <t>Instagram</t>
        </is>
      </c>
      <c r="C57" s="29" t="inlineStr">
        <is>
          <t>@danielacorreaup</t>
        </is>
      </c>
      <c r="D57" s="29" t="inlineStr">
        <is>
          <t>2026-08-23</t>
        </is>
      </c>
      <c r="E57" s="32" t="inlineStr">
        <is>
          <t>https://www.instagram.com/p/DcXb_yLNnb6/</t>
        </is>
      </c>
      <c r="F57" s="29" t="inlineStr">
        <is>
          <t>No puedes ser realmente feliz con un hombre si antes no sabes construir una vida que funcione sin él.</t>
        </is>
      </c>
      <c r="G57" s="29" t="inlineStr">
        <is>
          <t>G1 · Reencuadre</t>
        </is>
      </c>
      <c r="H57" s="29" t="inlineStr">
        <is>
          <t>Relaciones</t>
        </is>
      </c>
      <c r="I57" s="29" t="inlineStr">
        <is>
          <t>Cara a cámara</t>
        </is>
      </c>
      <c r="J57" s="29" t="inlineStr">
        <is>
          <t>59 s</t>
        </is>
      </c>
      <c r="K57" s="29" t="inlineStr">
        <is>
          <t>Confrontación</t>
        </is>
      </c>
      <c r="L57" s="29" t="inlineStr">
        <is>
          <t>Ninguno</t>
        </is>
      </c>
      <c r="M57" s="33" t="n">
        <v>8802</v>
      </c>
      <c r="N57" s="33" t="n">
        <v>4071.5</v>
      </c>
      <c r="O57" s="34">
        <f>IFERROR(M57/N57,"s/d")</f>
        <v/>
      </c>
      <c r="P57" s="29" t="inlineStr">
        <is>
          <t>P1 · Romper creencia + nombre propio al problema</t>
        </is>
      </c>
      <c r="Q57" s="29" t="inlineStr">
        <is>
          <t>transcripciones/instagram-2026-08-23-no-puedes-ser-realmente-feliz-con.md</t>
        </is>
      </c>
    </row>
    <row r="58">
      <c r="A58" s="29" t="n">
        <v>57</v>
      </c>
      <c r="B58" s="29" t="inlineStr">
        <is>
          <t>Instagram</t>
        </is>
      </c>
      <c r="C58" s="29" t="inlineStr">
        <is>
          <t>@quantumquip</t>
        </is>
      </c>
      <c r="D58" s="29" t="inlineStr">
        <is>
          <t>2026-09-12</t>
        </is>
      </c>
      <c r="E58" s="32" t="inlineStr">
        <is>
          <t>https://www.instagram.com/p/DdNKSKZz1CI/</t>
        </is>
      </c>
      <c r="F58" s="29" t="inlineStr">
        <is>
          <t>Muchas personas no se han dado cuenta que el verdadero trabajo no es hacer práctica tras práctica.</t>
        </is>
      </c>
      <c r="G58" s="29" t="inlineStr">
        <is>
          <t>G1 · Reencuadre</t>
        </is>
      </c>
      <c r="H58" s="29" t="inlineStr">
        <is>
          <t>Espiritualidad / carencia</t>
        </is>
      </c>
      <c r="I58" s="29" t="inlineStr">
        <is>
          <t>Cara a cámara</t>
        </is>
      </c>
      <c r="J58" s="29" t="inlineStr">
        <is>
          <t>80 s</t>
        </is>
      </c>
      <c r="K58" s="29" t="inlineStr">
        <is>
          <t>Confrontación</t>
        </is>
      </c>
      <c r="L58" s="29" t="inlineStr">
        <is>
          <t>Ninguno</t>
        </is>
      </c>
      <c r="M58" s="33" t="n">
        <v>9780</v>
      </c>
      <c r="N58" s="33" t="n">
        <v>4530</v>
      </c>
      <c r="O58" s="34">
        <f>IFERROR(M58/N58,"s/d")</f>
        <v/>
      </c>
      <c r="P58" s="29" t="inlineStr">
        <is>
          <t>P1 · Romper creencia + nombre propio al problema</t>
        </is>
      </c>
      <c r="Q58" s="29" t="inlineStr">
        <is>
          <t>transcripciones/instagram-2026-09-12-el-hacer-desmedido-tambien-puede-ser.md</t>
        </is>
      </c>
    </row>
    <row r="59">
      <c r="A59" s="29" t="n">
        <v>58</v>
      </c>
      <c r="B59" s="29" t="inlineStr">
        <is>
          <t>Facebook</t>
        </is>
      </c>
      <c r="C59" s="29" t="inlineStr">
        <is>
          <t>PsicoespacioVe</t>
        </is>
      </c>
      <c r="D59" s="29" t="inlineStr">
        <is>
          <t>s/d</t>
        </is>
      </c>
      <c r="E59" s="32" t="inlineStr">
        <is>
          <t>https://www.facebook.com/reel/4326892114252564/</t>
        </is>
      </c>
      <c r="F59" s="29" t="inlineStr">
        <is>
          <t>¿Qué pasaría si yo tomo mi bonsái chiquitito?</t>
        </is>
      </c>
      <c r="G59" s="29" t="inlineStr">
        <is>
          <t>G7 · Metáfora visual</t>
        </is>
      </c>
      <c r="H59" s="29" t="inlineStr">
        <is>
          <t>Identidad / potencial</t>
        </is>
      </c>
      <c r="I59" s="29" t="inlineStr">
        <is>
          <t>Cara a cámara + metáfora</t>
        </is>
      </c>
      <c r="J59" s="29" t="inlineStr">
        <is>
          <t>77 s</t>
        </is>
      </c>
      <c r="K59" s="29" t="inlineStr">
        <is>
          <t>Esperanza</t>
        </is>
      </c>
      <c r="L59" s="29" t="inlineStr">
        <is>
          <t>Comenta PODER (programa $1,497)</t>
        </is>
      </c>
      <c r="M59" s="33" t="n">
        <v>5000</v>
      </c>
      <c r="N59" s="33" t="n">
        <v>2375</v>
      </c>
      <c r="O59" s="34">
        <f>IFERROR(M59/N59,"s/d")</f>
        <v/>
      </c>
      <c r="P59" s="29" t="inlineStr">
        <is>
          <t>P6 · Historia o metáfora</t>
        </is>
      </c>
      <c r="Q59" s="29" t="inlineStr">
        <is>
          <t>transcripciones/facebook-bonsai-maceta-grande.md</t>
        </is>
      </c>
    </row>
    <row r="60">
      <c r="A60" s="29" t="n">
        <v>59</v>
      </c>
      <c r="B60" s="29" t="inlineStr">
        <is>
          <t>Instagram</t>
        </is>
      </c>
      <c r="C60" s="29" t="inlineStr">
        <is>
          <t>@danielacorreaup</t>
        </is>
      </c>
      <c r="D60" s="29" t="inlineStr">
        <is>
          <t>2026-09-04</t>
        </is>
      </c>
      <c r="E60" s="32" t="inlineStr">
        <is>
          <t>https://www.instagram.com/p/Dc2ExiwMdkX/</t>
        </is>
      </c>
      <c r="F60" s="29" t="inlineStr">
        <is>
          <t>Hay tres tipos de cerebros y probablemente el tuyo está en uno de estos tres niveles.</t>
        </is>
      </c>
      <c r="G60" s="29" t="inlineStr">
        <is>
          <t>G5 · Lista</t>
        </is>
      </c>
      <c r="H60" s="29" t="inlineStr">
        <is>
          <t>Mente / consciencia</t>
        </is>
      </c>
      <c r="I60" s="29" t="inlineStr">
        <is>
          <t>Cara a cámara</t>
        </is>
      </c>
      <c r="J60" s="29" t="inlineStr">
        <is>
          <t>53 s</t>
        </is>
      </c>
      <c r="K60" s="29" t="inlineStr">
        <is>
          <t>Curiosidad</t>
        </is>
      </c>
      <c r="L60" s="29" t="inlineStr">
        <is>
          <t>Pregunta: ¿en cuál estás?</t>
        </is>
      </c>
      <c r="M60" s="33" t="n">
        <v>8513</v>
      </c>
      <c r="N60" s="33" t="n">
        <v>4071.5</v>
      </c>
      <c r="O60" s="34">
        <f>IFERROR(M60/N60,"s/d")</f>
        <v/>
      </c>
      <c r="P60" s="29" t="inlineStr">
        <is>
          <t>P5 · Lista o espejo de señales</t>
        </is>
      </c>
      <c r="Q60" s="29" t="inlineStr">
        <is>
          <t>transcripciones/instagram-2026-09-04-que-tipo-de-cerebro-tienes.md</t>
        </is>
      </c>
    </row>
    <row r="61">
      <c r="A61" s="29" t="n">
        <v>60</v>
      </c>
      <c r="B61" s="29" t="inlineStr">
        <is>
          <t>Instagram</t>
        </is>
      </c>
      <c r="C61" s="29" t="inlineStr">
        <is>
          <t>@danielacorreaup</t>
        </is>
      </c>
      <c r="D61" s="29" t="inlineStr">
        <is>
          <t>2026-09-09</t>
        </is>
      </c>
      <c r="E61" s="32" t="inlineStr">
        <is>
          <t>https://www.instagram.com/p/DdFahcLNfg2/</t>
        </is>
      </c>
      <c r="F61" s="29" t="inlineStr">
        <is>
          <t>Durante una gran parte de mi vida pensé que tenía que bajarle dos rayitas a quien era.</t>
        </is>
      </c>
      <c r="G61" s="29" t="inlineStr">
        <is>
          <t>G11 · Historia / confesión</t>
        </is>
      </c>
      <c r="H61" s="29" t="inlineStr">
        <is>
          <t>Neurodivergencia / sensibilidad</t>
        </is>
      </c>
      <c r="I61" s="29" t="inlineStr">
        <is>
          <t>Cara a cámara + historia</t>
        </is>
      </c>
      <c r="J61" s="29" t="inlineStr">
        <is>
          <t>87 s</t>
        </is>
      </c>
      <c r="K61" s="29" t="inlineStr">
        <is>
          <t>Identificación</t>
        </is>
      </c>
      <c r="L61" s="29" t="inlineStr">
        <is>
          <t>Comenta RETO</t>
        </is>
      </c>
      <c r="M61" s="33" t="n">
        <v>7449</v>
      </c>
      <c r="N61" s="33" t="n">
        <v>4071.5</v>
      </c>
      <c r="O61" s="34">
        <f>IFERROR(M61/N61,"s/d")</f>
        <v/>
      </c>
      <c r="P61" s="29" t="inlineStr">
        <is>
          <t>P6 · Historia o metáfora</t>
        </is>
      </c>
      <c r="Q61" s="29" t="inlineStr">
        <is>
          <t>transcripciones/instagram-2026-09-09-esta-es-la-realidad-de-muchas.md</t>
        </is>
      </c>
    </row>
    <row r="62">
      <c r="A62" s="29" t="n">
        <v>61</v>
      </c>
      <c r="B62" s="29" t="inlineStr">
        <is>
          <t>Facebook</t>
        </is>
      </c>
      <c r="C62" s="29" t="inlineStr">
        <is>
          <t>PsicoespacioVe</t>
        </is>
      </c>
      <c r="D62" s="29" t="inlineStr">
        <is>
          <t>s/d</t>
        </is>
      </c>
      <c r="E62" s="32" t="inlineStr">
        <is>
          <t>https://www.facebook.com/reel/2325501028218258/</t>
        </is>
      </c>
      <c r="F62" s="29" t="inlineStr">
        <is>
          <t>Un buscador se levantó una mañana en su casa…</t>
        </is>
      </c>
      <c r="G62" s="29" t="inlineStr">
        <is>
          <t>G7 · Metáfora / cuento</t>
        </is>
      </c>
      <c r="H62" s="29" t="inlineStr">
        <is>
          <t>Propósito / miedo</t>
        </is>
      </c>
      <c r="I62" s="29" t="inlineStr">
        <is>
          <t>Cuento narrado a cámara</t>
        </is>
      </c>
      <c r="J62" s="29" t="inlineStr">
        <is>
          <t>167 s</t>
        </is>
      </c>
      <c r="K62" s="29" t="inlineStr">
        <is>
          <t>Nostalgia / reflexión</t>
        </is>
      </c>
      <c r="L62" s="29" t="inlineStr">
        <is>
          <t>Comenta PODER</t>
        </is>
      </c>
      <c r="M62" s="33" t="n">
        <v>4100</v>
      </c>
      <c r="N62" s="33" t="n">
        <v>2375</v>
      </c>
      <c r="O62" s="34">
        <f>IFERROR(M62/N62,"s/d")</f>
        <v/>
      </c>
      <c r="P62" s="29" t="inlineStr">
        <is>
          <t>P6 · Historia o metáfora</t>
        </is>
      </c>
      <c r="Q62" s="29" t="inlineStr">
        <is>
          <t>transcripciones/facebook-el-unico-tiempo-que-de-verdad-viviste.md</t>
        </is>
      </c>
    </row>
    <row r="63">
      <c r="A63" s="29" t="n">
        <v>62</v>
      </c>
      <c r="B63" s="29" t="inlineStr">
        <is>
          <t>Instagram</t>
        </is>
      </c>
      <c r="C63" s="29" t="inlineStr">
        <is>
          <t>@danielacorreaup</t>
        </is>
      </c>
      <c r="D63" s="29" t="inlineStr">
        <is>
          <t>2026-08-29</t>
        </is>
      </c>
      <c r="E63" s="32" t="inlineStr">
        <is>
          <t>https://www.instagram.com/p/Dcm89nct3Mc/</t>
        </is>
      </c>
      <c r="F63" s="29" t="inlineStr">
        <is>
          <t>Las ventas son 20% las palabras que dices y 80% la energía con que las dices.</t>
        </is>
      </c>
      <c r="G63" s="29" t="inlineStr">
        <is>
          <t>G8 · Cifra</t>
        </is>
      </c>
      <c r="H63" s="29" t="inlineStr">
        <is>
          <t>Dinero / ventas</t>
        </is>
      </c>
      <c r="I63" s="29" t="inlineStr">
        <is>
          <t>Cara a cámara</t>
        </is>
      </c>
      <c r="J63" s="29" t="inlineStr">
        <is>
          <t>60 s</t>
        </is>
      </c>
      <c r="K63" s="29" t="inlineStr">
        <is>
          <t>Curiosidad</t>
        </is>
      </c>
      <c r="L63" s="29" t="inlineStr">
        <is>
          <t>Ninguno</t>
        </is>
      </c>
      <c r="M63" s="33" t="n">
        <v>6998</v>
      </c>
      <c r="N63" s="33" t="n">
        <v>4071.5</v>
      </c>
      <c r="O63" s="34">
        <f>IFERROR(M63/N63,"s/d")</f>
        <v/>
      </c>
      <c r="P63" s="29" t="inlineStr">
        <is>
          <t>P1 · Romper creencia + nombre propio al problema</t>
        </is>
      </c>
      <c r="Q63" s="29" t="inlineStr">
        <is>
          <t>transcripciones/instagram-2026-08-29-estas-son-las-6-ensenanzas-de.md</t>
        </is>
      </c>
    </row>
    <row r="64">
      <c r="A64" s="29" t="n">
        <v>63</v>
      </c>
      <c r="B64" s="29" t="inlineStr">
        <is>
          <t>Instagram</t>
        </is>
      </c>
      <c r="C64" s="29" t="inlineStr">
        <is>
          <t>@danielacorreaup</t>
        </is>
      </c>
      <c r="D64" s="29" t="inlineStr">
        <is>
          <t>2026-09-30</t>
        </is>
      </c>
      <c r="E64" s="32" t="inlineStr">
        <is>
          <t>https://www.instagram.com/p/Dd5JvoGtoFC/</t>
        </is>
      </c>
      <c r="F64" s="29" t="inlineStr">
        <is>
          <t>Si tienes TDAH, deja de intentar construir tu vida alrededor de cosas que no te estimulan.</t>
        </is>
      </c>
      <c r="G64" s="29" t="inlineStr">
        <is>
          <t>G2 · Consejo práctico</t>
        </is>
      </c>
      <c r="H64" s="29" t="inlineStr">
        <is>
          <t>TDAH / propósito</t>
        </is>
      </c>
      <c r="I64" s="29" t="inlineStr">
        <is>
          <t>Cara a cámara</t>
        </is>
      </c>
      <c r="J64" s="29" t="inlineStr">
        <is>
          <t>77 s</t>
        </is>
      </c>
      <c r="K64" s="29" t="inlineStr">
        <is>
          <t>Alivio</t>
        </is>
      </c>
      <c r="L64" s="29" t="inlineStr">
        <is>
          <t>Ninguno</t>
        </is>
      </c>
      <c r="M64" s="33" t="n">
        <v>6909</v>
      </c>
      <c r="N64" s="33" t="n">
        <v>4071.5</v>
      </c>
      <c r="O64" s="34">
        <f>IFERROR(M64/N64,"s/d")</f>
        <v/>
      </c>
      <c r="P64" s="29" t="inlineStr">
        <is>
          <t>P2 · Herramienta para usar ya (decreto, ritual, técnica)</t>
        </is>
      </c>
      <c r="Q64" s="29" t="inlineStr">
        <is>
          <t>transcripciones/instagram-2026-09-30-si-tienes-tdah-este-consejo-cambiara.md</t>
        </is>
      </c>
    </row>
    <row r="65">
      <c r="A65" s="29" t="n">
        <v>64</v>
      </c>
      <c r="B65" s="29" t="inlineStr">
        <is>
          <t>Facebook</t>
        </is>
      </c>
      <c r="C65" s="29" t="inlineStr">
        <is>
          <t>PsicoespacioVe</t>
        </is>
      </c>
      <c r="D65" s="29" t="inlineStr">
        <is>
          <t>s/d</t>
        </is>
      </c>
      <c r="E65" s="32" t="inlineStr">
        <is>
          <t>https://www.facebook.com/reel/2931408003895018/</t>
        </is>
      </c>
      <c r="F65" s="29" t="inlineStr">
        <is>
          <t>…solo quieres rezar para que algo más grande que tú te traiga el resultado: no va a funcionar.</t>
        </is>
      </c>
      <c r="G65" s="29" t="inlineStr">
        <is>
          <t>G1 · Reencuadre</t>
        </is>
      </c>
      <c r="H65" s="29" t="inlineStr">
        <is>
          <t>Espiritualidad / acción</t>
        </is>
      </c>
      <c r="I65" s="29" t="inlineStr">
        <is>
          <t>Cara a cámara (fragmento de clase)</t>
        </is>
      </c>
      <c r="J65" s="29" t="inlineStr">
        <is>
          <t>56 s</t>
        </is>
      </c>
      <c r="K65" s="29" t="inlineStr">
        <is>
          <t>Confrontación</t>
        </is>
      </c>
      <c r="L65" s="29" t="inlineStr">
        <is>
          <t>Comenta CLASE</t>
        </is>
      </c>
      <c r="M65" s="33" t="n">
        <v>4000</v>
      </c>
      <c r="N65" s="33" t="n">
        <v>2375</v>
      </c>
      <c r="O65" s="34">
        <f>IFERROR(M65/N65,"s/d")</f>
        <v/>
      </c>
      <c r="P65" s="29" t="inlineStr">
        <is>
          <t>P1 · Romper creencia + nombre propio al problema</t>
        </is>
      </c>
      <c r="Q65" s="29" t="inlineStr">
        <is>
          <t>transcripciones/facebook-oras-y-no-actuas.md</t>
        </is>
      </c>
    </row>
    <row r="66">
      <c r="A66" s="29" t="n">
        <v>65</v>
      </c>
      <c r="B66" s="29" t="inlineStr">
        <is>
          <t>Instagram</t>
        </is>
      </c>
      <c r="C66" s="29" t="inlineStr">
        <is>
          <t>@danielacorreaup</t>
        </is>
      </c>
      <c r="D66" s="29" t="inlineStr">
        <is>
          <t>2026-09-08</t>
        </is>
      </c>
      <c r="E66" s="32" t="inlineStr">
        <is>
          <t>https://www.instagram.com/p/DdAb5lMNKk5/</t>
        </is>
      </c>
      <c r="F66" s="29" t="inlineStr">
        <is>
          <t>Carl Jung dijo una vez: hasta que hagas consciente lo inconsciente, dirigirá tu vida…</t>
        </is>
      </c>
      <c r="G66" s="29" t="inlineStr">
        <is>
          <t>G6 · Cita</t>
        </is>
      </c>
      <c r="H66" s="29" t="inlineStr">
        <is>
          <t>Dinero / subconsciente</t>
        </is>
      </c>
      <c r="I66" s="29" t="inlineStr">
        <is>
          <t>Cara a cámara + historia</t>
        </is>
      </c>
      <c r="J66" s="29" t="inlineStr">
        <is>
          <t>86 s</t>
        </is>
      </c>
      <c r="K66" s="29" t="inlineStr">
        <is>
          <t>Identificación</t>
        </is>
      </c>
      <c r="L66" s="29" t="inlineStr">
        <is>
          <t>Reto 15 de septiembre</t>
        </is>
      </c>
      <c r="M66" s="33" t="n">
        <v>6551</v>
      </c>
      <c r="N66" s="33" t="n">
        <v>4071.5</v>
      </c>
      <c r="O66" s="34">
        <f>IFERROR(M66/N66,"s/d")</f>
        <v/>
      </c>
      <c r="P66" s="29" t="inlineStr">
        <is>
          <t>P7 · Autoridad: estudio, famoso o cita</t>
        </is>
      </c>
      <c r="Q66" s="29" t="inlineStr">
        <is>
          <t>transcripciones/instagram-2026-09-08-hasta-que-hagas-consciente-lo-inconsciente.md</t>
        </is>
      </c>
    </row>
    <row r="67">
      <c r="A67" s="29" t="n">
        <v>66</v>
      </c>
      <c r="B67" s="29" t="inlineStr">
        <is>
          <t>Facebook</t>
        </is>
      </c>
      <c r="C67" s="29" t="inlineStr">
        <is>
          <t>PsicoespacioVe</t>
        </is>
      </c>
      <c r="D67" s="29" t="inlineStr">
        <is>
          <t>s/d</t>
        </is>
      </c>
      <c r="E67" s="32" t="inlineStr">
        <is>
          <t>https://www.facebook.com/reel/1606172144251021/</t>
        </is>
      </c>
      <c r="F67" s="29" t="inlineStr">
        <is>
          <t>Para que dos personas sean pareja de verdad tienen que tener…</t>
        </is>
      </c>
      <c r="G67" s="29" t="inlineStr">
        <is>
          <t>G5 · Espejo / lista</t>
        </is>
      </c>
      <c r="H67" s="29" t="inlineStr">
        <is>
          <t>Relaciones</t>
        </is>
      </c>
      <c r="I67" s="29" t="inlineStr">
        <is>
          <t>Cara a cámara (fragmento de clase)</t>
        </is>
      </c>
      <c r="J67" s="29" t="inlineStr">
        <is>
          <t>66 s</t>
        </is>
      </c>
      <c r="K67" s="29" t="inlineStr">
        <is>
          <t>Identificación</t>
        </is>
      </c>
      <c r="L67" s="29" t="inlineStr">
        <is>
          <t>Comenta REPROGRÁMATE (clases gratis)</t>
        </is>
      </c>
      <c r="M67" s="33" t="n">
        <v>3800</v>
      </c>
      <c r="N67" s="33" t="n">
        <v>2375</v>
      </c>
      <c r="O67" s="34">
        <f>IFERROR(M67/N67,"s/d")</f>
        <v/>
      </c>
      <c r="P67" s="29" t="inlineStr">
        <is>
          <t>P5 · Lista o espejo de señales</t>
        </is>
      </c>
      <c r="Q67" s="29" t="inlineStr">
        <is>
          <t>transcripciones/facebook-es-un-socio-no-una-pareja.md</t>
        </is>
      </c>
    </row>
    <row r="68">
      <c r="A68" s="29" t="n">
        <v>67</v>
      </c>
      <c r="B68" s="29" t="inlineStr">
        <is>
          <t>Instagram</t>
        </is>
      </c>
      <c r="C68" s="29" t="inlineStr">
        <is>
          <t>@danielacorreaup</t>
        </is>
      </c>
      <c r="D68" s="29" t="inlineStr">
        <is>
          <t>2026-08-28</t>
        </is>
      </c>
      <c r="E68" s="32" t="inlineStr">
        <is>
          <t>https://www.instagram.com/p/DckT247NWAd/</t>
        </is>
      </c>
      <c r="F68" s="29" t="inlineStr">
        <is>
          <t>Manifiesto que este video solo le aparezca a la mujer que está destinada a ser realmente exitosa.</t>
        </is>
      </c>
      <c r="G68" s="29" t="inlineStr">
        <is>
          <t>G11 · Historia / confesión</t>
        </is>
      </c>
      <c r="H68" s="29" t="inlineStr">
        <is>
          <t>Metas / éxito</t>
        </is>
      </c>
      <c r="I68" s="29" t="inlineStr">
        <is>
          <t>Cara a cámara + historia</t>
        </is>
      </c>
      <c r="J68" s="29" t="inlineStr">
        <is>
          <t>79 s</t>
        </is>
      </c>
      <c r="K68" s="29" t="inlineStr">
        <is>
          <t>Esperanza</t>
        </is>
      </c>
      <c r="L68" s="29" t="inlineStr">
        <is>
          <t>Ninguno</t>
        </is>
      </c>
      <c r="M68" s="33" t="n">
        <v>5693</v>
      </c>
      <c r="N68" s="33" t="n">
        <v>4071.5</v>
      </c>
      <c r="O68" s="37">
        <f>IFERROR(M68/N68,"s/d")</f>
        <v/>
      </c>
      <c r="P68" s="29" t="inlineStr">
        <is>
          <t>P6 · Historia o metáfora</t>
        </is>
      </c>
      <c r="Q68" s="29" t="inlineStr">
        <is>
          <t>transcripciones/instagram-2026-08-28-si-estas-viendo-esto-es-por.md</t>
        </is>
      </c>
    </row>
    <row r="69">
      <c r="A69" s="29" t="n">
        <v>68</v>
      </c>
      <c r="B69" s="29" t="inlineStr">
        <is>
          <t>Instagram</t>
        </is>
      </c>
      <c r="C69" s="29" t="inlineStr">
        <is>
          <t>@danielacorreaup</t>
        </is>
      </c>
      <c r="D69" s="29" t="inlineStr">
        <is>
          <t>2026-09-06</t>
        </is>
      </c>
      <c r="E69" s="32" t="inlineStr">
        <is>
          <t>https://www.instagram.com/p/Dc7ZDExjQPf/</t>
        </is>
      </c>
      <c r="F69" s="29" t="inlineStr">
        <is>
          <t>(caption) Demasiado PODER para el sistema equivocado!</t>
        </is>
      </c>
      <c r="G69" s="29" t="inlineStr">
        <is>
          <t>Anuncio</t>
        </is>
      </c>
      <c r="H69" s="29" t="inlineStr">
        <is>
          <t>TDAH / reto</t>
        </is>
      </c>
      <c r="I69" s="29" t="inlineStr">
        <is>
          <t>En vivo (sin transcripción)</t>
        </is>
      </c>
      <c r="J69" s="29" t="inlineStr">
        <is>
          <t>s/d s</t>
        </is>
      </c>
      <c r="K69" s="29" t="inlineStr">
        <is>
          <t>s/d</t>
        </is>
      </c>
      <c r="L69" s="29" t="inlineStr">
        <is>
          <t>Link en bio</t>
        </is>
      </c>
      <c r="M69" s="33" t="n">
        <v>5432</v>
      </c>
      <c r="N69" s="33" t="n">
        <v>4071.5</v>
      </c>
      <c r="O69" s="37">
        <f>IFERROR(M69/N69,"s/d")</f>
        <v/>
      </c>
      <c r="P69" s="29" t="inlineStr">
        <is>
          <t>P8 · Anuncio directo de evento o producto</t>
        </is>
      </c>
      <c r="Q69" s="29" t="inlineStr">
        <is>
          <t>transcripciones/instagram-2026-09-06-demasiado-poder-para-el-sistema-equivocado.md</t>
        </is>
      </c>
    </row>
    <row r="70">
      <c r="A70" s="29" t="n">
        <v>69</v>
      </c>
      <c r="B70" s="29" t="inlineStr">
        <is>
          <t>Instagram</t>
        </is>
      </c>
      <c r="C70" s="29" t="inlineStr">
        <is>
          <t>@danielacorreaup</t>
        </is>
      </c>
      <c r="D70" s="29" t="inlineStr">
        <is>
          <t>2026-09-21</t>
        </is>
      </c>
      <c r="E70" s="32" t="inlineStr">
        <is>
          <t>https://www.instagram.com/p/DdkOiAts4IT/</t>
        </is>
      </c>
      <c r="F70" s="29" t="inlineStr">
        <is>
          <t>Lo que no enfrentas no desaparece, solo aprendes a esconderlo mejor.</t>
        </is>
      </c>
      <c r="G70" s="29" t="inlineStr">
        <is>
          <t>G1 · Reencuadre</t>
        </is>
      </c>
      <c r="H70" s="29" t="inlineStr">
        <is>
          <t>Perfeccionismo</t>
        </is>
      </c>
      <c r="I70" s="29" t="inlineStr">
        <is>
          <t>Cara a cámara</t>
        </is>
      </c>
      <c r="J70" s="29" t="inlineStr">
        <is>
          <t>73 s</t>
        </is>
      </c>
      <c r="K70" s="29" t="inlineStr">
        <is>
          <t>Confrontación</t>
        </is>
      </c>
      <c r="L70" s="29" t="inlineStr">
        <is>
          <t>Comenta PODER</t>
        </is>
      </c>
      <c r="M70" s="33" t="n">
        <v>5291</v>
      </c>
      <c r="N70" s="33" t="n">
        <v>4071.5</v>
      </c>
      <c r="O70" s="37">
        <f>IFERROR(M70/N70,"s/d")</f>
        <v/>
      </c>
      <c r="P70" s="29" t="inlineStr">
        <is>
          <t>P1 · Romper creencia + nombre propio al problema</t>
        </is>
      </c>
      <c r="Q70" s="29" t="inlineStr">
        <is>
          <t>transcripciones/instagram-2026-09-21-comenta-poder-y-te-lo-envio.md</t>
        </is>
      </c>
    </row>
    <row r="71">
      <c r="A71" s="29" t="n">
        <v>70</v>
      </c>
      <c r="B71" s="29" t="inlineStr">
        <is>
          <t>Facebook</t>
        </is>
      </c>
      <c r="C71" s="29" t="inlineStr">
        <is>
          <t>PsicoespacioVe</t>
        </is>
      </c>
      <c r="D71" s="29" t="inlineStr">
        <is>
          <t>s/d</t>
        </is>
      </c>
      <c r="E71" s="32" t="inlineStr">
        <is>
          <t>https://www.facebook.com/reel/1609978707244310/</t>
        </is>
      </c>
      <c r="F71" s="29" t="inlineStr">
        <is>
          <t>Muchísimas mujeres escriben a diario: tienen más de 10 años aceptando migajas…</t>
        </is>
      </c>
      <c r="G71" s="29" t="inlineStr">
        <is>
          <t>G4 · Pregunta-dolor</t>
        </is>
      </c>
      <c r="H71" s="29" t="inlineStr">
        <is>
          <t>Relaciones</t>
        </is>
      </c>
      <c r="I71" s="29" t="inlineStr">
        <is>
          <t>Cara a cámara</t>
        </is>
      </c>
      <c r="J71" s="29" t="inlineStr">
        <is>
          <t>59 s</t>
        </is>
      </c>
      <c r="K71" s="29" t="inlineStr">
        <is>
          <t>Identificación</t>
        </is>
      </c>
      <c r="L71" s="29" t="inlineStr">
        <is>
          <t>Comenta CAMBIO</t>
        </is>
      </c>
      <c r="M71" s="33" t="n">
        <v>2900</v>
      </c>
      <c r="N71" s="33" t="n">
        <v>2375</v>
      </c>
      <c r="O71" s="37">
        <f>IFERROR(M71/N71,"s/d")</f>
        <v/>
      </c>
      <c r="P71" s="29" t="inlineStr">
        <is>
          <t>P3 · Dolor en sus palabras + explicación</t>
        </is>
      </c>
      <c r="Q71" s="29" t="inlineStr">
        <is>
          <t>transcripciones/facebook-que-concepto-de-amor-aprendiste.md</t>
        </is>
      </c>
    </row>
    <row r="72">
      <c r="A72" s="29" t="n">
        <v>71</v>
      </c>
      <c r="B72" s="29" t="inlineStr">
        <is>
          <t>Instagram</t>
        </is>
      </c>
      <c r="C72" s="29" t="inlineStr">
        <is>
          <t>@danielacorreaup</t>
        </is>
      </c>
      <c r="D72" s="29" t="inlineStr">
        <is>
          <t>2026-10-06</t>
        </is>
      </c>
      <c r="E72" s="32" t="inlineStr">
        <is>
          <t>https://www.instagram.com/p/DeIfmHJNQW8/</t>
        </is>
      </c>
      <c r="F72" s="29" t="inlineStr">
        <is>
          <t>Hay una razón por la que tu cerebro sigue obsesionándose con las cosas que empezaste pero no terminas.</t>
        </is>
      </c>
      <c r="G72" s="29" t="inlineStr">
        <is>
          <t>G6 · Autoridad (Zeigarnik)</t>
        </is>
      </c>
      <c r="H72" s="29" t="inlineStr">
        <is>
          <t>Ansiedad / mente saturada</t>
        </is>
      </c>
      <c r="I72" s="29" t="inlineStr">
        <is>
          <t>Cara a cámara</t>
        </is>
      </c>
      <c r="J72" s="29" t="inlineStr">
        <is>
          <t>71 s</t>
        </is>
      </c>
      <c r="K72" s="29" t="inlineStr">
        <is>
          <t>Alivio</t>
        </is>
      </c>
      <c r="L72" s="29" t="inlineStr">
        <is>
          <t>Ninguno</t>
        </is>
      </c>
      <c r="M72" s="33" t="n">
        <v>4684</v>
      </c>
      <c r="N72" s="33" t="n">
        <v>4071.5</v>
      </c>
      <c r="O72" s="37">
        <f>IFERROR(M72/N72,"s/d")</f>
        <v/>
      </c>
      <c r="P72" s="29" t="inlineStr">
        <is>
          <t>P7 · Autoridad: estudio, famoso o cita</t>
        </is>
      </c>
      <c r="Q72" s="29" t="inlineStr">
        <is>
          <t>transcripciones/instagram-2026-10-06-el-truco-mental-que-la-mayoria.md</t>
        </is>
      </c>
    </row>
    <row r="73">
      <c r="A73" s="29" t="n">
        <v>72</v>
      </c>
      <c r="B73" s="29" t="inlineStr">
        <is>
          <t>Instagram</t>
        </is>
      </c>
      <c r="C73" s="29" t="inlineStr">
        <is>
          <t>@danielacorreaup</t>
        </is>
      </c>
      <c r="D73" s="29" t="inlineStr">
        <is>
          <t>2026-08-20</t>
        </is>
      </c>
      <c r="E73" s="32" t="inlineStr">
        <is>
          <t>https://www.instagram.com/p/DcPlgPnNYrC/</t>
        </is>
      </c>
      <c r="F73" s="29" t="inlineStr">
        <is>
          <t>Eso que llamas ambición muchas veces es miedo al fracaso.</t>
        </is>
      </c>
      <c r="G73" s="29" t="inlineStr">
        <is>
          <t>G1 · Reencuadre</t>
        </is>
      </c>
      <c r="H73" s="29" t="inlineStr">
        <is>
          <t>Metas / éxito</t>
        </is>
      </c>
      <c r="I73" s="29" t="inlineStr">
        <is>
          <t>Cara a cámara</t>
        </is>
      </c>
      <c r="J73" s="29" t="inlineStr">
        <is>
          <t>71 s</t>
        </is>
      </c>
      <c r="K73" s="29" t="inlineStr">
        <is>
          <t>Sorpresa</t>
        </is>
      </c>
      <c r="L73" s="29" t="inlineStr">
        <is>
          <t>Comenta PODCAST</t>
        </is>
      </c>
      <c r="M73" s="33" t="n">
        <v>4653</v>
      </c>
      <c r="N73" s="33" t="n">
        <v>4071.5</v>
      </c>
      <c r="O73" s="37">
        <f>IFERROR(M73/N73,"s/d")</f>
        <v/>
      </c>
      <c r="P73" s="29" t="inlineStr">
        <is>
          <t>P1 · Romper creencia + nombre propio al problema</t>
        </is>
      </c>
      <c r="Q73" s="29" t="inlineStr">
        <is>
          <t>transcripciones/instagram-2026-08-20-eso-que-llamas-ambicion-muchas-veces.md</t>
        </is>
      </c>
    </row>
    <row r="74">
      <c r="A74" s="29" t="n">
        <v>73</v>
      </c>
      <c r="B74" s="29" t="inlineStr">
        <is>
          <t>Instagram</t>
        </is>
      </c>
      <c r="C74" s="29" t="inlineStr">
        <is>
          <t>@quantumquip</t>
        </is>
      </c>
      <c r="D74" s="29" t="inlineStr">
        <is>
          <t>2026-09-01</t>
        </is>
      </c>
      <c r="E74" s="32" t="inlineStr">
        <is>
          <t>https://www.instagram.com/p/DcwRsbCJK3Y/</t>
        </is>
      </c>
      <c r="F74" s="29" t="inlineStr">
        <is>
          <t>Y este niño interno tuvo que sacar ciertas conclusiones para sobrevivir…</t>
        </is>
      </c>
      <c r="G74" s="29" t="inlineStr">
        <is>
          <t>Fragmento de podcast</t>
        </is>
      </c>
      <c r="H74" s="29" t="inlineStr">
        <is>
          <t>Niño interno</t>
        </is>
      </c>
      <c r="I74" s="29" t="inlineStr">
        <is>
          <t>Corte de podcast</t>
        </is>
      </c>
      <c r="J74" s="29" t="inlineStr">
        <is>
          <t>42 s</t>
        </is>
      </c>
      <c r="K74" s="29" t="inlineStr">
        <is>
          <t>Comprensión</t>
        </is>
      </c>
      <c r="L74" s="29" t="inlineStr">
        <is>
          <t>Episodio nuevo</t>
        </is>
      </c>
      <c r="M74" s="33" t="n">
        <v>5093</v>
      </c>
      <c r="N74" s="33" t="n">
        <v>4530</v>
      </c>
      <c r="O74" s="37">
        <f>IFERROR(M74/N74,"s/d")</f>
        <v/>
      </c>
      <c r="P74" s="29" t="inlineStr">
        <is>
          <t>P3 · Dolor en sus palabras + explicación</t>
        </is>
      </c>
      <c r="Q74" s="29" t="inlineStr">
        <is>
          <t>transcripciones/instagram-2026-09-01-hay-nuevo-episodio-quieres-ir-a.md</t>
        </is>
      </c>
    </row>
    <row r="75">
      <c r="A75" s="29" t="n">
        <v>74</v>
      </c>
      <c r="B75" s="29" t="inlineStr">
        <is>
          <t>Instagram</t>
        </is>
      </c>
      <c r="C75" s="29" t="inlineStr">
        <is>
          <t>@danielacorreaup</t>
        </is>
      </c>
      <c r="D75" s="29" t="inlineStr">
        <is>
          <t>2026-10-03</t>
        </is>
      </c>
      <c r="E75" s="32" t="inlineStr">
        <is>
          <t>https://www.instagram.com/p/DeA8R_KKKho/</t>
        </is>
      </c>
      <c r="F75" s="29" t="inlineStr">
        <is>
          <t>La paz interior es la nueva riqueza.</t>
        </is>
      </c>
      <c r="G75" s="29" t="inlineStr">
        <is>
          <t>G1 · Reencuadre</t>
        </is>
      </c>
      <c r="H75" s="29" t="inlineStr">
        <is>
          <t>Paz / abundancia</t>
        </is>
      </c>
      <c r="I75" s="29" t="inlineStr">
        <is>
          <t>Cara a cámara</t>
        </is>
      </c>
      <c r="J75" s="29" t="inlineStr">
        <is>
          <t>60 s</t>
        </is>
      </c>
      <c r="K75" s="29" t="inlineStr">
        <is>
          <t>Calma</t>
        </is>
      </c>
      <c r="L75" s="29" t="inlineStr">
        <is>
          <t>Ninguno</t>
        </is>
      </c>
      <c r="M75" s="33" t="n">
        <v>4291</v>
      </c>
      <c r="N75" s="33" t="n">
        <v>4071.5</v>
      </c>
      <c r="O75" s="37">
        <f>IFERROR(M75/N75,"s/d")</f>
        <v/>
      </c>
      <c r="P75" s="29" t="inlineStr">
        <is>
          <t>P1 · Romper creencia + nombre propio al problema</t>
        </is>
      </c>
      <c r="Q75" s="29" t="inlineStr">
        <is>
          <t>transcripciones/instagram-2026-10-03-la-paz-interior-es-la-nueva.md</t>
        </is>
      </c>
    </row>
    <row r="76">
      <c r="A76" s="29" t="n">
        <v>75</v>
      </c>
      <c r="B76" s="29" t="inlineStr">
        <is>
          <t>Instagram</t>
        </is>
      </c>
      <c r="C76" s="29" t="inlineStr">
        <is>
          <t>@danielacorreaup</t>
        </is>
      </c>
      <c r="D76" s="29" t="inlineStr">
        <is>
          <t>2026-10-05</t>
        </is>
      </c>
      <c r="E76" s="32" t="inlineStr">
        <is>
          <t>https://www.instagram.com/p/DeGCZ3qNgSw/</t>
        </is>
      </c>
      <c r="F76" s="29" t="inlineStr">
        <is>
          <t>La mayoría de las personas no están atrapadas en su realidad, están atrapadas en la interpretación que hicieron de ella.</t>
        </is>
      </c>
      <c r="G76" s="29" t="inlineStr">
        <is>
          <t>G1 · Reencuadre</t>
        </is>
      </c>
      <c r="H76" s="29" t="inlineStr">
        <is>
          <t>Mente / percepción</t>
        </is>
      </c>
      <c r="I76" s="29" t="inlineStr">
        <is>
          <t>Cara a cámara</t>
        </is>
      </c>
      <c r="J76" s="29" t="inlineStr">
        <is>
          <t>47 s</t>
        </is>
      </c>
      <c r="K76" s="29" t="inlineStr">
        <is>
          <t>Sorpresa</t>
        </is>
      </c>
      <c r="L76" s="29" t="inlineStr">
        <is>
          <t>Ninguno</t>
        </is>
      </c>
      <c r="M76" s="33" t="n">
        <v>4085</v>
      </c>
      <c r="N76" s="33" t="n">
        <v>4071.5</v>
      </c>
      <c r="O76" s="37">
        <f>IFERROR(M76/N76,"s/d")</f>
        <v/>
      </c>
      <c r="P76" s="29" t="inlineStr">
        <is>
          <t>P1 · Romper creencia + nombre propio al problema</t>
        </is>
      </c>
      <c r="Q76" s="29" t="inlineStr">
        <is>
          <t>transcripciones/instagram-2026-10-05-las-personas-no-estan-atrapadas-en.md</t>
        </is>
      </c>
    </row>
    <row r="77">
      <c r="A77" s="29" t="n">
        <v>76</v>
      </c>
      <c r="B77" s="29" t="inlineStr">
        <is>
          <t>Instagram</t>
        </is>
      </c>
      <c r="C77" s="29" t="inlineStr">
        <is>
          <t>@danielacorreaup</t>
        </is>
      </c>
      <c r="D77" s="29" t="inlineStr">
        <is>
          <t>2026-09-19</t>
        </is>
      </c>
      <c r="E77" s="32" t="inlineStr">
        <is>
          <t>https://www.instagram.com/p/DdcwFDrDfQV/</t>
        </is>
      </c>
      <c r="F77" s="29" t="inlineStr">
        <is>
          <t>(caption) Neurospicys al P.O.D.E.R. comenzamos el 24 de septiembre</t>
        </is>
      </c>
      <c r="G77" s="29" t="inlineStr">
        <is>
          <t>Anuncio</t>
        </is>
      </c>
      <c r="H77" s="29" t="inlineStr">
        <is>
          <t>TDAH / reto</t>
        </is>
      </c>
      <c r="I77" s="29" t="inlineStr">
        <is>
          <t>En vivo (sin transcripción)</t>
        </is>
      </c>
      <c r="J77" s="29" t="inlineStr">
        <is>
          <t>s/d s</t>
        </is>
      </c>
      <c r="K77" s="29" t="inlineStr">
        <is>
          <t>s/d</t>
        </is>
      </c>
      <c r="L77" s="29" t="inlineStr">
        <is>
          <t>Link en bio</t>
        </is>
      </c>
      <c r="M77" s="33" t="n">
        <v>3531</v>
      </c>
      <c r="N77" s="33" t="n">
        <v>4071.5</v>
      </c>
      <c r="O77" s="37">
        <f>IFERROR(M77/N77,"s/d")</f>
        <v/>
      </c>
      <c r="P77" s="29" t="inlineStr">
        <is>
          <t>P8 · Anuncio directo de evento o producto</t>
        </is>
      </c>
      <c r="Q77" s="29" t="inlineStr">
        <is>
          <t>transcripciones/instagram-2026-09-19-neurospicys-al-p-o-d-e.md</t>
        </is>
      </c>
    </row>
    <row r="78">
      <c r="A78" s="29" t="n">
        <v>77</v>
      </c>
      <c r="B78" s="29" t="inlineStr">
        <is>
          <t>Instagram</t>
        </is>
      </c>
      <c r="C78" s="29" t="inlineStr">
        <is>
          <t>@danielacorreaup</t>
        </is>
      </c>
      <c r="D78" s="29" t="inlineStr">
        <is>
          <t>2026-09-25</t>
        </is>
      </c>
      <c r="E78" s="32" t="inlineStr">
        <is>
          <t>https://www.instagram.com/p/DdsI9-ZN8wT/</t>
        </is>
      </c>
      <c r="F78" s="29" t="inlineStr">
        <is>
          <t>Durante años me hicieron sentir que hablaba demasiado. Hoy hago millones hablando.</t>
        </is>
      </c>
      <c r="G78" s="29" t="inlineStr">
        <is>
          <t>G11 · Historia / confesión</t>
        </is>
      </c>
      <c r="H78" s="29" t="inlineStr">
        <is>
          <t>Identidad / dinero</t>
        </is>
      </c>
      <c r="I78" s="29" t="inlineStr">
        <is>
          <t>Cara a cámara + historia</t>
        </is>
      </c>
      <c r="J78" s="29" t="inlineStr">
        <is>
          <t>89 s</t>
        </is>
      </c>
      <c r="K78" s="29" t="inlineStr">
        <is>
          <t>Inspiración</t>
        </is>
      </c>
      <c r="L78" s="29" t="inlineStr">
        <is>
          <t>Comenta PODER</t>
        </is>
      </c>
      <c r="M78" s="33" t="n">
        <v>3194</v>
      </c>
      <c r="N78" s="33" t="n">
        <v>4071.5</v>
      </c>
      <c r="O78" s="37">
        <f>IFERROR(M78/N78,"s/d")</f>
        <v/>
      </c>
      <c r="P78" s="29" t="inlineStr">
        <is>
          <t>P6 · Historia o metáfora</t>
        </is>
      </c>
      <c r="Q78" s="29" t="inlineStr">
        <is>
          <t>transcripciones/instagram-2026-09-25-te-cuento-una-parte-de-mi.md</t>
        </is>
      </c>
    </row>
    <row r="79">
      <c r="A79" s="29" t="n">
        <v>78</v>
      </c>
      <c r="B79" s="29" t="inlineStr">
        <is>
          <t>Facebook</t>
        </is>
      </c>
      <c r="C79" s="29" t="inlineStr">
        <is>
          <t>PsicoespacioVe</t>
        </is>
      </c>
      <c r="D79" s="29" t="inlineStr">
        <is>
          <t>s/d</t>
        </is>
      </c>
      <c r="E79" s="32" t="inlineStr">
        <is>
          <t>https://www.facebook.com/reel/2720591191671210/</t>
        </is>
      </c>
      <c r="F79" s="29" t="inlineStr">
        <is>
          <t>Mañana empezamos, mi gente bella: 4 clases que te van a abrir los ojos…</t>
        </is>
      </c>
      <c r="G79" s="29" t="inlineStr">
        <is>
          <t>Anuncio</t>
        </is>
      </c>
      <c r="H79" s="29" t="inlineStr">
        <is>
          <t>Patrones repetidos</t>
        </is>
      </c>
      <c r="I79" s="29" t="inlineStr">
        <is>
          <t>Cara a cámara corto</t>
        </is>
      </c>
      <c r="J79" s="29" t="inlineStr">
        <is>
          <t>28 s</t>
        </is>
      </c>
      <c r="K79" s="29" t="inlineStr">
        <is>
          <t>Urgencia</t>
        </is>
      </c>
      <c r="L79" s="29" t="inlineStr">
        <is>
          <t>Inscríbete (WhatsApp / link en perfil)</t>
        </is>
      </c>
      <c r="M79" s="33" t="n">
        <v>1700</v>
      </c>
      <c r="N79" s="33" t="n">
        <v>2375</v>
      </c>
      <c r="O79" s="37">
        <f>IFERROR(M79/N79,"s/d")</f>
        <v/>
      </c>
      <c r="P79" s="29" t="inlineStr">
        <is>
          <t>P8 · Anuncio directo de evento o producto</t>
        </is>
      </c>
      <c r="Q79" s="29" t="inlineStr">
        <is>
          <t>transcripciones/facebook-cuatro-clases-gratuitas-manana-empezamos.md</t>
        </is>
      </c>
    </row>
    <row r="80">
      <c r="A80" s="29" t="n">
        <v>79</v>
      </c>
      <c r="B80" s="29" t="inlineStr">
        <is>
          <t>Facebook</t>
        </is>
      </c>
      <c r="C80" s="29" t="inlineStr">
        <is>
          <t>PsicoespacioVe</t>
        </is>
      </c>
      <c r="D80" s="29" t="inlineStr">
        <is>
          <t>s/d</t>
        </is>
      </c>
      <c r="E80" s="32" t="inlineStr">
        <is>
          <t>https://www.facebook.com/reel/1897028914817172/</t>
        </is>
      </c>
      <c r="F80" s="29" t="inlineStr">
        <is>
          <t>Acabamos de terminar la primera clase de Reprográmate…</t>
        </is>
      </c>
      <c r="G80" s="29" t="inlineStr">
        <is>
          <t>Anuncio</t>
        </is>
      </c>
      <c r="H80" s="29" t="inlineStr">
        <is>
          <t>Patrones repetidos</t>
        </is>
      </c>
      <c r="I80" s="29" t="inlineStr">
        <is>
          <t>Cara a cámara corto</t>
        </is>
      </c>
      <c r="J80" s="29" t="inlineStr">
        <is>
          <t>44 s</t>
        </is>
      </c>
      <c r="K80" s="29" t="inlineStr">
        <is>
          <t>Urgencia</t>
        </is>
      </c>
      <c r="L80" s="29" t="inlineStr">
        <is>
          <t>Comenta CLASE (repetición)</t>
        </is>
      </c>
      <c r="M80" s="33" t="inlineStr">
        <is>
          <t>s/d</t>
        </is>
      </c>
      <c r="N80" s="33" t="n">
        <v>2375</v>
      </c>
      <c r="O80" s="37">
        <f>IFERROR(M80/N80,"s/d")</f>
        <v/>
      </c>
      <c r="P80" s="29" t="inlineStr">
        <is>
          <t>P8 · Anuncio directo de evento o producto</t>
        </is>
      </c>
      <c r="Q80" s="29" t="inlineStr">
        <is>
          <t>transcripciones/facebook-terminamos-la-primera-clase-reprogramate.md</t>
        </is>
      </c>
    </row>
    <row r="82">
      <c r="A82" s="27" t="inlineStr">
        <is>
          <t>Fuentes y supuestos:</t>
        </is>
      </c>
    </row>
    <row r="83" ht="28" customHeight="1">
      <c r="A83" s="38" t="inlineStr">
        <is>
          <t>Vistas: de cada transcripción (Apify / vidIQ). En Facebook son las que muestra el título del reel (ej. "46K").</t>
        </is>
      </c>
    </row>
    <row r="84" ht="28" customHeight="1">
      <c r="A84" s="38" t="inlineStr">
        <is>
          <t>Mediana de la cuenta: @mabradiante = 11,850 (mediana de 40 TikToks); @manifestadoras = 674,000 (mediana de 40 TikToks); @soylizadebri = 1,500,000 (mediana de 40 TikToks); @transformacion_acelerada = 295,900 (mediana de 40 TikToks); @danielacorreaup = 4,072 (mediana de 36 reels); @quantumquip = 4,530 (mediana de 14 reels); PsicoespacioVe = 2,375 (mediana de 27 posts con vistas). Sale de fuentes/*.json (recolección del 2026-10-06).</t>
        </is>
      </c>
    </row>
    <row r="85" ht="28" customHeight="1">
      <c r="A85" s="38" t="inlineStr">
        <is>
          <t>Verde = más de 1.5x (le fue mucho mejor de lo normal para esa cuenta). Rojo = menos de 0.7x. Morado = tus propios videos.</t>
        </is>
      </c>
    </row>
    <row r="86" ht="28" customHeight="1">
      <c r="A86" s="38" t="inlineStr">
        <is>
          <t>OJO: transcribimos sobre todo los videos MÁS vistos de cada cuenta, así que casi todo sale arriba de 1.5x. Sirve para ver qué tienen en común los virales; no para decir qué fracasa.</t>
        </is>
      </c>
    </row>
    <row r="87" ht="28" customHeight="1">
      <c r="A87" s="38" t="inlineStr">
        <is>
          <t>Hook, tipo, tema, formato, emoción, CTA y patrón: clasificación de NICA leyendo cada transcripción. Donde no hay voz, el hook sale del caption y se marca "(caption)" o "(texto en pantalla)".</t>
        </is>
      </c>
    </row>
  </sheetData>
  <autoFilter ref="A1:Q80"/>
  <mergeCells count="5">
    <mergeCell ref="A86:L86"/>
    <mergeCell ref="A85:L85"/>
    <mergeCell ref="A84:L84"/>
    <mergeCell ref="A83:L83"/>
    <mergeCell ref="A87:L87"/>
  </mergeCell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70" customWidth="1" min="6" max="6"/>
  </cols>
  <sheetData>
    <row r="1">
      <c r="A1" s="4" t="inlineStr">
        <is>
          <t>PATRÓN</t>
        </is>
      </c>
      <c r="B1" s="4" t="inlineStr">
        <is>
          <t>Piezas</t>
        </is>
      </c>
      <c r="C1" s="4" t="inlineStr">
        <is>
          <t>Rendimiento típico (mediana)</t>
        </is>
      </c>
      <c r="D1" s="4" t="inlineStr">
        <is>
          <t>Arriba de 1.5x</t>
        </is>
      </c>
      <c r="E1" s="4" t="inlineStr">
        <is>
          <t>Abajo de 0.7x</t>
        </is>
      </c>
      <c r="F1" s="4" t="inlineStr">
        <is>
          <t>Ejemplo real</t>
        </is>
      </c>
    </row>
    <row r="2">
      <c r="A2" s="28" t="inlineStr">
        <is>
          <t>P2 · Herramienta para usar ya (decreto, ritual, técnica)</t>
        </is>
      </c>
      <c r="B2" s="29">
        <f>COUNTIF(Competencia!$P$2:$P$80,A2)</f>
        <v/>
      </c>
      <c r="C2" s="39" t="n">
        <v>26</v>
      </c>
      <c r="D2" s="29">
        <f>COUNTIFS(Competencia!$P$2:$P$80,A2,Competencia!$O$2:$O$80,"&gt;1.5")</f>
        <v/>
      </c>
      <c r="E2" s="29">
        <f>COUNTIFS(Competencia!$P$2:$P$80,A2,Competencia!$O$2:$O$80,"&lt;0.7")</f>
        <v/>
      </c>
      <c r="F2" s="29" t="inlineStr">
        <is>
          <t>@mabradiante: "Di esto en tu casa y mira cómo todo comienza a cambiar." (186x)</t>
        </is>
      </c>
    </row>
    <row r="3">
      <c r="A3" s="28" t="inlineStr">
        <is>
          <t>P5 · Lista o espejo de señales</t>
        </is>
      </c>
      <c r="B3" s="29">
        <f>COUNTIF(Competencia!$P$2:$P$80,A3)</f>
        <v/>
      </c>
      <c r="C3" s="39" t="n">
        <v>8.9</v>
      </c>
      <c r="D3" s="29">
        <f>COUNTIFS(Competencia!$P$2:$P$80,A3,Competencia!$O$2:$O$80,"&gt;1.5")</f>
        <v/>
      </c>
      <c r="E3" s="29">
        <f>COUNTIFS(Competencia!$P$2:$P$80,A3,Competencia!$O$2:$O$80,"&lt;0.7")</f>
        <v/>
      </c>
      <c r="F3" s="29" t="inlineStr">
        <is>
          <t>@danielacorreaup: "Odian los ruidos fuertes, pero pueden escuchar la misma canción durante cinco horas." (532x)</t>
        </is>
      </c>
    </row>
    <row r="4">
      <c r="A4" s="28" t="inlineStr">
        <is>
          <t>P7 · Autoridad: estudio, famoso o cita</t>
        </is>
      </c>
      <c r="B4" s="29">
        <f>COUNTIF(Competencia!$P$2:$P$80,A4)</f>
        <v/>
      </c>
      <c r="C4" s="39" t="n">
        <v>7.6</v>
      </c>
      <c r="D4" s="29">
        <f>COUNTIFS(Competencia!$P$2:$P$80,A4,Competencia!$O$2:$O$80,"&gt;1.5")</f>
        <v/>
      </c>
      <c r="E4" s="29">
        <f>COUNTIFS(Competencia!$P$2:$P$80,A4,Competencia!$O$2:$O$80,"&lt;0.7")</f>
        <v/>
      </c>
      <c r="F4" s="29" t="inlineStr">
        <is>
          <t>@danielacorreaup: "Sabrina Carpenter es el ejemplo perfecto de cómo funciona la manifestación." (35x)</t>
        </is>
      </c>
    </row>
    <row r="5">
      <c r="A5" s="28" t="inlineStr">
        <is>
          <t>P9 · Texto en pantalla + música (sin voz)</t>
        </is>
      </c>
      <c r="B5" s="29">
        <f>COUNTIF(Competencia!$P$2:$P$80,A5)</f>
        <v/>
      </c>
      <c r="C5" s="39" t="n">
        <v>5.4</v>
      </c>
      <c r="D5" s="29">
        <f>COUNTIFS(Competencia!$P$2:$P$80,A5,Competencia!$O$2:$O$80,"&gt;1.5")</f>
        <v/>
      </c>
      <c r="E5" s="29">
        <f>COUNTIFS(Competencia!$P$2:$P$80,A5,Competencia!$O$2:$O$80,"&lt;0.7")</f>
        <v/>
      </c>
      <c r="F5" s="29" t="inlineStr">
        <is>
          <t>@danielacorreaup: "(texto en pantalla) La física ya lo confirmó: lo que no puedes ver es lo que construye tod" (136x)</t>
        </is>
      </c>
    </row>
    <row r="6">
      <c r="A6" s="28" t="inlineStr">
        <is>
          <t>P4 · Reacción a video ajeno de dolor o polémica</t>
        </is>
      </c>
      <c r="B6" s="29">
        <f>COUNTIF(Competencia!$P$2:$P$80,A6)</f>
        <v/>
      </c>
      <c r="C6" s="39" t="n">
        <v>3.1</v>
      </c>
      <c r="D6" s="29">
        <f>COUNTIFS(Competencia!$P$2:$P$80,A6,Competencia!$O$2:$O$80,"&gt;1.5")</f>
        <v/>
      </c>
      <c r="E6" s="29">
        <f>COUNTIFS(Competencia!$P$2:$P$80,A6,Competencia!$O$2:$O$80,"&lt;0.7")</f>
        <v/>
      </c>
      <c r="F6" s="29" t="inlineStr">
        <is>
          <t>@transformacion_acelerada: "Te lo digo crudo y sin rodeos." (3x)</t>
        </is>
      </c>
    </row>
    <row r="7">
      <c r="A7" s="28" t="inlineStr">
        <is>
          <t>P1 · Romper creencia + nombre propio al problema</t>
        </is>
      </c>
      <c r="B7" s="29">
        <f>COUNTIF(Competencia!$P$2:$P$80,A7)</f>
        <v/>
      </c>
      <c r="C7" s="39" t="n">
        <v>2.7</v>
      </c>
      <c r="D7" s="29">
        <f>COUNTIFS(Competencia!$P$2:$P$80,A7,Competencia!$O$2:$O$80,"&gt;1.5")</f>
        <v/>
      </c>
      <c r="E7" s="29">
        <f>COUNTIFS(Competencia!$P$2:$P$80,A7,Competencia!$O$2:$O$80,"&lt;0.7")</f>
        <v/>
      </c>
      <c r="F7" s="29" t="inlineStr">
        <is>
          <t>@danielacorreaup: "Las personas con TDAH no tienen un déficit de atención, tienen un exceso de atención para " (614x)</t>
        </is>
      </c>
    </row>
    <row r="8">
      <c r="A8" s="28" t="inlineStr">
        <is>
          <t>P3 · Dolor en sus palabras + explicación</t>
        </is>
      </c>
      <c r="B8" s="29">
        <f>COUNTIF(Competencia!$P$2:$P$80,A8)</f>
        <v/>
      </c>
      <c r="C8" s="39" t="n">
        <v>2.3</v>
      </c>
      <c r="D8" s="29">
        <f>COUNTIFS(Competencia!$P$2:$P$80,A8,Competencia!$O$2:$O$80,"&gt;1.5")</f>
        <v/>
      </c>
      <c r="E8" s="29">
        <f>COUNTIFS(Competencia!$P$2:$P$80,A8,Competencia!$O$2:$O$80,"&lt;0.7")</f>
        <v/>
      </c>
      <c r="F8" s="29" t="inlineStr">
        <is>
          <t>@danielacorreaup: "¿Cómo sabes si realmente tienes TDAH o simplemente estás distraído?" (11x)</t>
        </is>
      </c>
    </row>
    <row r="9">
      <c r="A9" s="28" t="inlineStr">
        <is>
          <t>P6 · Historia o metáfora</t>
        </is>
      </c>
      <c r="B9" s="29">
        <f>COUNTIF(Competencia!$P$2:$P$80,A9)</f>
        <v/>
      </c>
      <c r="C9" s="39" t="n">
        <v>1.8</v>
      </c>
      <c r="D9" s="29">
        <f>COUNTIFS(Competencia!$P$2:$P$80,A9,Competencia!$O$2:$O$80,"&gt;1.5")</f>
        <v/>
      </c>
      <c r="E9" s="29">
        <f>COUNTIFS(Competencia!$P$2:$P$80,A9,Competencia!$O$2:$O$80,"&lt;0.7")</f>
        <v/>
      </c>
      <c r="F9" s="29" t="inlineStr">
        <is>
          <t>PsicoespacioVe: "Los bonsáis no simplemente son árboles que nacieron enanos." (14x)</t>
        </is>
      </c>
    </row>
    <row r="10">
      <c r="A10" s="28" t="inlineStr">
        <is>
          <t>P8 · Anuncio directo de evento o producto</t>
        </is>
      </c>
      <c r="B10" s="29">
        <f>COUNTIF(Competencia!$P$2:$P$80,A10)</f>
        <v/>
      </c>
      <c r="C10" s="39" t="n">
        <v>1.1</v>
      </c>
      <c r="D10" s="29">
        <f>COUNTIFS(Competencia!$P$2:$P$80,A10,Competencia!$O$2:$O$80,"&gt;1.5")</f>
        <v/>
      </c>
      <c r="E10" s="29">
        <f>COUNTIFS(Competencia!$P$2:$P$80,A10,Competencia!$O$2:$O$80,"&lt;0.7")</f>
        <v/>
      </c>
      <c r="F10" s="29" t="inlineStr">
        <is>
          <t>PsicoespacioVe: "Les voy a dar un regalo… hay un programa gratuito…" (6x)</t>
        </is>
      </c>
    </row>
    <row r="12">
      <c r="A12" s="31" t="inlineStr">
        <is>
          <t>La mediana la calculé con las vistas de la pestaña Competencia (es un valor fijo; si agregas filas, se recalcula en la rutina semanal).</t>
        </is>
      </c>
    </row>
    <row r="14">
      <c r="A14" s="40" t="inlineStr">
        <is>
          <t>QUÉ FUNCIONA (piezas arriba de 1.5x)</t>
        </is>
      </c>
    </row>
    <row r="15" ht="30" customHeight="1">
      <c r="A15" s="2" t="inlineStr">
        <is>
          <t>• Herramienta para usar ya (P2): 8 de 8 piezas arriba de 1.5x, rendimiento típico 26x. Aquí están tus 4 videos más vistos ("Di esto en tu casa…", "Cuidado con este video…").</t>
        </is>
      </c>
    </row>
    <row r="16" ht="30" customHeight="1">
      <c r="A16" s="2" t="inlineStr">
        <is>
          <t>• Lista o espejo de señales (P5): 6 de 6 arriba, 8.9x. Ej.: "Odian los ruidos fuertes, pero…" (2.2M en Instagram).</t>
        </is>
      </c>
    </row>
    <row r="17" ht="30" customHeight="1">
      <c r="A17" s="2" t="inlineStr">
        <is>
          <t>• Autoridad: estudio, famoso o cita (P7): 6 de 7 arriba, 7.6x. Ej.: Sabrina Carpenter, Lady Gaga, Harvard, Carl Jung.</t>
        </is>
      </c>
    </row>
    <row r="18" ht="30" customHeight="1">
      <c r="A18" s="2" t="inlineStr">
        <is>
          <t>• Relaciones es el tema con más piezas virales (16) y las vistas más altas en TikTok (de 1 a 7.2 millones).</t>
        </is>
      </c>
    </row>
    <row r="19" ht="30" customHeight="1">
      <c r="A19" s="2" t="inlineStr">
        <is>
          <t>• TDAH / neurodivergencia: 10 piezas, rendimiento típico 13x (cuenta @danielacorreaup). Tú tienes TDAH: es tu historia.</t>
        </is>
      </c>
    </row>
    <row r="21">
      <c r="A21" s="40" t="inlineStr">
        <is>
          <t>QUÉ NO FUNCIONA (piezas abajo de 0.7x)</t>
        </is>
      </c>
    </row>
    <row r="22" ht="30" customHeight="1">
      <c r="A22" s="2" t="inlineStr">
        <is>
          <t>• Casi no hay datos: transcribimos los videos más vistos, así que ninguna pieza quedó abajo de 0.7x. Lo más bajo fue:</t>
        </is>
      </c>
    </row>
    <row r="23" ht="30" customHeight="1">
      <c r="A23" s="2" t="inlineStr">
        <is>
          <t>• Anuncio directo de evento o producto (P8): rendimiento típico 1.1x, el más bajo de todos. Ej.: "Mañana empezamos: 4 clases…" (0.7x).</t>
        </is>
      </c>
    </row>
    <row r="24" ht="30" customHeight="1">
      <c r="A24" s="2" t="inlineStr">
        <is>
          <t>• Historias personales largas (P6): 1.8x. Funcionan, pero menos que la herramienta o la lista.</t>
        </is>
      </c>
    </row>
    <row r="25" ht="30" customHeight="1">
      <c r="A25" s="2" t="inlineStr">
        <is>
          <t>• Piezas que piden "comenta para el link": 2.4x contra 4.7x de las que no venden. Vender recorta alcance: por eso solo 1 de 3 piezas al día vende.</t>
        </is>
      </c>
    </row>
    <row r="27">
      <c r="A27" s="40" t="inlineStr">
        <is>
          <t>EL PATRÓN DE VIRALIDAD</t>
        </is>
      </c>
    </row>
    <row r="28" ht="30" customHeight="1">
      <c r="A28" s="2" t="inlineStr">
        <is>
          <t>• Gancho que nombra el dolor o rompe una creencia → algo concreto para usar YA (decreto, ritual, lista de señales) → cierre corto. La venta, solo en 1 de cada 3 piezas y al final.</t>
        </is>
      </c>
    </row>
    <row r="30">
      <c r="A30" s="40" t="inlineStr">
        <is>
          <t>LO QUE NO SABEMOS</t>
        </is>
      </c>
    </row>
    <row r="31" ht="30" customHeight="1">
      <c r="A31" s="2" t="inlineStr">
        <is>
          <t>• Qué falla: nos faltan videos de bajo rendimiento transcritos para comparar.</t>
        </is>
      </c>
    </row>
    <row r="32" ht="30" customHeight="1">
      <c r="A32" s="2" t="inlineStr">
        <is>
          <t>• Lo que dicen los 12 reels de @quantumquip y los 2 de @danielacorreaup que son solo texto en pantalla + música: tenemos el caption, no el texto exacto en pantalla.</t>
        </is>
      </c>
    </row>
    <row r="33" ht="30" customHeight="1">
      <c r="A33" s="2" t="inlineStr">
        <is>
          <t>• YouTube: el canal estudiado está en inglés y no tiene transcripciones.</t>
        </is>
      </c>
    </row>
    <row r="34" ht="30" customHeight="1">
      <c r="A34" s="2" t="inlineStr">
        <is>
          <t>• Tus números en Instagram, Facebook y YouTube: todavía no los medimos.</t>
        </is>
      </c>
    </row>
    <row r="35" ht="30" customHeight="1">
      <c r="A35" s="2" t="inlineStr">
        <is>
          <t>• Retención (hasta qué segundo ven): ninguna fuente la da públicamente.</t>
        </is>
      </c>
    </row>
    <row r="37">
      <c r="A37" s="40" t="inlineStr">
        <is>
          <t>3 HALLAZGOS</t>
        </is>
      </c>
    </row>
    <row r="38" ht="30" customHeight="1">
      <c r="A38" s="2" t="inlineStr">
        <is>
          <t>• 1. Tu arma más fuerte es la HERRAMIENTA PARA USAR YA: 8 de 8 piezas virales, 26x típico, y ahí están tus 4 videos más vistos. Mínimo 1 por día (ya está en el calendario: pieza 2).</t>
        </is>
      </c>
    </row>
    <row r="39" ht="30" customHeight="1">
      <c r="A39" s="2" t="inlineStr">
        <is>
          <t>• 2. "Romper creencia" es el gancho más usado (25 piezas) pero rinde menos (2.7x) que la LISTA DE SEÑALES (8.9x) o un FAMOSO / ESTUDIO (7.6x). Combínalo: "No es que no te elijan… y estas son las 3 señales".</t>
        </is>
      </c>
    </row>
    <row r="40" ht="30" customHeight="1">
      <c r="A40" s="2" t="inlineStr">
        <is>
          <t>• 3. RELACIONES es el tema con más virales del nicho y TDAH rinde 13x: los dos son tu terreno (Querido Ex y tu historia con TDAH).</t>
        </is>
      </c>
    </row>
  </sheetData>
  <mergeCells count="18">
    <mergeCell ref="A24:F24"/>
    <mergeCell ref="A16:F16"/>
    <mergeCell ref="A33:F33"/>
    <mergeCell ref="A38:F38"/>
    <mergeCell ref="A28:F28"/>
    <mergeCell ref="A19:F19"/>
    <mergeCell ref="A23:F23"/>
    <mergeCell ref="A32:F32"/>
    <mergeCell ref="A31:F31"/>
    <mergeCell ref="A22:F22"/>
    <mergeCell ref="A17:F17"/>
    <mergeCell ref="A18:F18"/>
    <mergeCell ref="A34:F34"/>
    <mergeCell ref="A35:F35"/>
    <mergeCell ref="A40:F40"/>
    <mergeCell ref="A39:F39"/>
    <mergeCell ref="A15:F15"/>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2026-10-10T20:59:09Z</dcterms:created>
  <dcterms:modified xsi:type="dcterms:W3CDTF">2026-10-10T20:59:09Z</dcterms:modified>
</cp:coreProperties>
</file>